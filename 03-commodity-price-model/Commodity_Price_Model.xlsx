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 Data" sheetId="1" state="visible" r:id="rId3"/>
    <sheet name="Price Analysis" sheetId="2" state="visible" r:id="rId4"/>
    <sheet name="Price Forecast" sheetId="3" state="visible" r:id="rId5"/>
    <sheet name="Price Drivers" sheetId="4" state="visible" r:id="rId6"/>
    <sheet name="Market 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<sst xmlns="http://schemas.openxmlformats.org/spreadsheetml/2006/main" count="312" uniqueCount="257">
  <si>
    <t xml:space="preserve">CANADIAN PERISHABLE COMMODITY PRICE HISTORY (2022–2024)</t>
  </si>
  <si>
    <t xml:space="preserve">Monthly wholesale prices (CAD $/tonne) – Sources: AAFC Market Information Service; Statistics Canada</t>
  </si>
  <si>
    <t xml:space="preserve">Month / Year</t>
  </si>
  <si>
    <t xml:space="preserve">Tomatoes (CAD$/t)</t>
  </si>
  <si>
    <t xml:space="preserve">Peppers (CAD$/t)</t>
  </si>
  <si>
    <t xml:space="preserve">Lettuce (CAD$/t)</t>
  </si>
  <si>
    <t xml:space="preserve">CPI Index</t>
  </si>
  <si>
    <t xml:space="preserve">Fuel Index</t>
  </si>
  <si>
    <t xml:space="preserve">Notes</t>
  </si>
  <si>
    <t xml:space="preserve">Jan-2022</t>
  </si>
  <si>
    <t xml:space="preserve">Base period</t>
  </si>
  <si>
    <t xml:space="preserve">Feb-2022</t>
  </si>
  <si>
    <t xml:space="preserve">Mar-2022</t>
  </si>
  <si>
    <t xml:space="preserve">Ukraine conflict – fuel spike</t>
  </si>
  <si>
    <t xml:space="preserve">Apr-2022</t>
  </si>
  <si>
    <t xml:space="preserve">Spring planting season</t>
  </si>
  <si>
    <t xml:space="preserve">May-2022</t>
  </si>
  <si>
    <t xml:space="preserve">Early field season begins</t>
  </si>
  <si>
    <t xml:space="preserve">Jun-2022</t>
  </si>
  <si>
    <t xml:space="preserve">Peak demand – BBQ season</t>
  </si>
  <si>
    <t xml:space="preserve">Jul-2022</t>
  </si>
  <si>
    <t xml:space="preserve">Peak harvest – Ontario field tomatoes</t>
  </si>
  <si>
    <t xml:space="preserve">Aug-2022</t>
  </si>
  <si>
    <t xml:space="preserve">Abundant supply – price softens</t>
  </si>
  <si>
    <t xml:space="preserve">Sep-2022</t>
  </si>
  <si>
    <t xml:space="preserve">Late harvest</t>
  </si>
  <si>
    <t xml:space="preserve">Oct-2022</t>
  </si>
  <si>
    <t xml:space="preserve">Season wind-down</t>
  </si>
  <si>
    <t xml:space="preserve">Nov-2022</t>
  </si>
  <si>
    <t xml:space="preserve">Greenhouse dominates supply</t>
  </si>
  <si>
    <t xml:space="preserve">Dec-2022</t>
  </si>
  <si>
    <t xml:space="preserve">Holiday demand boost</t>
  </si>
  <si>
    <t xml:space="preserve">Jan-2023</t>
  </si>
  <si>
    <t xml:space="preserve">New year – supply tight</t>
  </si>
  <si>
    <t xml:space="preserve">Feb-2023</t>
  </si>
  <si>
    <t xml:space="preserve">Mar-2023</t>
  </si>
  <si>
    <t xml:space="preserve">Apr-2023</t>
  </si>
  <si>
    <t xml:space="preserve">May-2023</t>
  </si>
  <si>
    <t xml:space="preserve">Dry spring – lower yields forecast</t>
  </si>
  <si>
    <t xml:space="preserve">Jun-2023</t>
  </si>
  <si>
    <t xml:space="preserve">Strong foodservice demand</t>
  </si>
  <si>
    <t xml:space="preserve">Jul-2023</t>
  </si>
  <si>
    <t xml:space="preserve">Heat dome – Ontario July 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</si>
  <si>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</si>
  <si>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</si>
  <si>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</si>
  <si>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</si>
  <si>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</si>
  <si>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</si>
  <si>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</si>
  <si>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</si>
  <si>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</si>
  <si>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</si>
  <si>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Labour cost increases</t>
  </si>
  <si>
    <t xml:space="preserve">Jun-2024</t>
  </si>
  <si>
    <t xml:space="preserve">Strong retail demand</t>
  </si>
  <si>
    <t xml:space="preserve">Jul-2024</t>
  </si>
  <si>
    <t xml:space="preserve">Record greenhouse output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</si>
  <si>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</si>
  <si>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</si>
  <si>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</si>
  <si>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</si>
  <si>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</si>
  <si>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Year-end inventory clearance</t>
  </si>
  <si>
    <t xml:space="preserve">SUMMARY STATISTICS (2022–2024)</t>
  </si>
  <si>
    <t xml:space="preserve">Average Price (CAD $/t)</t>
  </si>
  <si>
    <t xml:space="preserve">Maximum Price (CAD $/t)</t>
  </si>
  <si>
    <t xml:space="preserve">Minimum Price (CAD $/t)</t>
  </si>
  <si>
    <t xml:space="preserve">Std Deviation</t>
  </si>
  <si>
    <t xml:space="preserve">Coefficient of Variation</t>
  </si>
  <si>
    <t xml:space="preserve">3-Yr Price Change %</t>
  </si>
  <si>
    <t xml:space="preserve">Avg Monthly Change %</t>
  </si>
  <si>
    <t xml:space="preserve">PRICE ANALYSIS – MOVING AVERAGES, SEASONALITY &amp; YEAR-ON-YEAR CHANGE</t>
  </si>
  <si>
    <t xml:space="preserve">Statistical analysis of tomato prices. Extend to peppers/lettuce by changing the source column reference.</t>
  </si>
  <si>
    <t xml:space="preserve">Month</t>
  </si>
  <si>
    <t xml:space="preserve">Actual Price
(CAD$/t)</t>
  </si>
  <si>
    <t xml:space="preserve">3-Month MA
(CAD$/t)</t>
  </si>
  <si>
    <t xml:space="preserve">6-Month MA
(CAD$/t)</t>
  </si>
  <si>
    <t xml:space="preserve">12-Month MA
(CAD$/t)</t>
  </si>
  <si>
    <t xml:space="preserve">MoM Change %</t>
  </si>
  <si>
    <t xml:space="preserve">YoY Change %</t>
  </si>
  <si>
    <t xml:space="preserve">Seasonal
Index</t>
  </si>
  <si>
    <t xml:space="preserve">Price Band
Low</t>
  </si>
  <si>
    <t xml:space="preserve">Price Band
High</t>
  </si>
  <si>
    <t xml:space="preserve">AVERAGE SEASONAL INDEX BY MONTH (Higher = above annual average)</t>
  </si>
  <si>
    <t xml:space="preserve">Seasonal Index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</si>
  <si>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</si>
  <si>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</si>
  <si>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</si>
  <si>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</si>
  <si>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</si>
  <si>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</si>
  <si>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</si>
  <si>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</si>
  <si>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</si>
  <si>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</si>
  <si>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</si>
  <si>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</si>
  <si>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COMMODITY PRICE FORECAST – JAN TO DEC 2025</t>
  </si>
  <si>
    <t xml:space="preserve">Three methods: Trend Extrapolation, Seasonal Adjustment, and Expert Scenario Model.</t>
  </si>
  <si>
    <t xml:space="preserve">FORECAST ASSUMPTIONS</t>
  </si>
  <si>
    <t xml:space="preserve">Base price (Dec-2024 actual, CAD $/t)</t>
  </si>
  <si>
    <t xml:space="preserve">Annual trend growth rate (tomatoes)</t>
  </si>
  <si>
    <t xml:space="preserve">Based on 3-yr CAGR from Historical Data</t>
  </si>
  <si>
    <t xml:space="preserve">Inflation pass-through rate</t>
  </si>
  <si>
    <t xml:space="preserve">60% of CPI inflation passed to prices</t>
  </si>
  <si>
    <t xml:space="preserve">Forecast CPI growth (2025)</t>
  </si>
  <si>
    <t xml:space="preserve">Source: Bank of Canada 2025 projection</t>
  </si>
  <si>
    <t xml:space="preserve">Fuel cost influence weight</t>
  </si>
  <si>
    <t xml:space="preserve">Share of price movement from fuel</t>
  </si>
  <si>
    <t xml:space="preserve">Expected fuel index change (2025)</t>
  </si>
  <si>
    <t xml:space="preserve">Slight recovery from 2024 levels</t>
  </si>
  <si>
    <t xml:space="preserve">Bull scenario premium</t>
  </si>
  <si>
    <t xml:space="preserve">Supply disruption / drought scenario</t>
  </si>
  <si>
    <t xml:space="preserve">Bear scenario discount</t>
  </si>
  <si>
    <t xml:space="preserve">Oversupply / weak demand scenario</t>
  </si>
  <si>
    <t xml:space="preserve">MONTHLY PRICE FORECAST – 2025 (CAD $/tonne – TOMATOES)</t>
  </si>
  <si>
    <t xml:space="preserve">Trend
Forecast</t>
  </si>
  <si>
    <t xml:space="preserve">Seasonal-
Adjusted</t>
  </si>
  <si>
    <t xml:space="preserve">Base
Scenario</t>
  </si>
  <si>
    <t xml:space="preserve">Bull
Scenario</t>
  </si>
  <si>
    <t xml:space="preserve">Bear
Scenario</t>
  </si>
  <si>
    <t xml:space="preserve">Forecast
Range</t>
  </si>
  <si>
    <t xml:space="preserve">Jan-2025</t>
  </si>
  <si>
    <t xml:space="preserve">Supply tight – greenhouse only</t>
  </si>
  <si>
    <t xml:space="preserve">Feb-2025</t>
  </si>
  <si>
    <t xml:space="preserve">Greenhouse supply stable</t>
  </si>
  <si>
    <t xml:space="preserve">Mar-2025</t>
  </si>
  <si>
    <t xml:space="preserve">Transplanting begins</t>
  </si>
  <si>
    <t xml:space="preserve">Apr-2025</t>
  </si>
  <si>
    <t xml:space="preserve">Early field prep</t>
  </si>
  <si>
    <t xml:space="preserve">May-2025</t>
  </si>
  <si>
    <t xml:space="preserve">First outdoor crop</t>
  </si>
  <si>
    <t xml:space="preserve">Jun-2025</t>
  </si>
  <si>
    <t xml:space="preserve">Peak demand BBQ season</t>
  </si>
  <si>
    <t xml:space="preserve">Jul-2025</t>
  </si>
  <si>
    <t xml:space="preserve">Peak Ontario field harvest</t>
  </si>
  <si>
    <t xml:space="preserve">Aug-2025</t>
  </si>
  <si>
    <t xml:space="preserve">Abundant supply</t>
  </si>
  <si>
    <t xml:space="preserve">Sep-2025</t>
  </si>
  <si>
    <t xml:space="preserve">Oct-2025</t>
  </si>
  <si>
    <t xml:space="preserve">Season end – price softens</t>
  </si>
  <si>
    <t xml:space="preserve">Nov-2025</t>
  </si>
  <si>
    <t xml:space="preserve">Greenhouse dominates</t>
  </si>
  <si>
    <t xml:space="preserve">Dec-2025</t>
  </si>
  <si>
    <t xml:space="preserve">Year-end demand</t>
  </si>
  <si>
    <t xml:space="preserve">FORECAST SUMMARY</t>
  </si>
  <si>
    <t xml:space="preserve">Avg Base Forecast 2025 (CAD $/t)</t>
  </si>
  <si>
    <t xml:space="preserve">Avg Bull Forecast 2025 (CAD $/t)</t>
  </si>
  <si>
    <t xml:space="preserve">Avg Bear Forecast 2025 (CAD $/t)</t>
  </si>
  <si>
    <t xml:space="preserve">Expected Price Range (CAD $/t)</t>
  </si>
  <si>
    <t xml:space="preserve">Forecast YoY Growth vs 2024 Avg</t>
  </si>
  <si>
    <t xml:space="preserve">Peak Month (Base Scenario)</t>
  </si>
  <si>
    <t xml:space="preserve">Trough Month (Base Scenario)</t>
  </si>
  <si>
    <t xml:space="preserve">PRICE DRIVERS ANALYSIS – WHAT MOVES TOMATO PRICES?</t>
  </si>
  <si>
    <t xml:space="preserve">Correlation analysis between tomato prices and key economic drivers.</t>
  </si>
  <si>
    <t xml:space="preserve">A. DRIVER CORRELATION MATRIX</t>
  </si>
  <si>
    <t xml:space="preserve">Driver</t>
  </si>
  <si>
    <t xml:space="preserve">Correlation with
Tomato Price</t>
  </si>
  <si>
    <t xml:space="preserve">Strength</t>
  </si>
  <si>
    <t xml:space="preserve">Direction</t>
  </si>
  <si>
    <t xml:space="preserve">Impact Score</t>
  </si>
  <si>
    <t xml:space="preserve">Interpretation</t>
  </si>
  <si>
    <t xml:space="preserve">CPI (Consumer Price Index)</t>
  </si>
  <si>
    <t xml:space="preserve">Strong</t>
  </si>
  <si>
    <t xml:space="preserve">Positive</t>
  </si>
  <si>
    <t xml:space="preserve">High</t>
  </si>
  <si>
    <t xml:space="preserve">Inflation drives input costs and market prices upward</t>
  </si>
  <si>
    <t xml:space="preserve">Fuel / Transport Index</t>
  </si>
  <si>
    <t xml:space="preserve">Moderate</t>
  </si>
  <si>
    <t xml:space="preserve">Medium</t>
  </si>
  <si>
    <t xml:space="preserve">Higher fuel raises delivery cost → farmgate price up</t>
  </si>
  <si>
    <t xml:space="preserve">Seasonal Month (1–12)</t>
  </si>
  <si>
    <t xml:space="preserve">Mixed</t>
  </si>
  <si>
    <t xml:space="preserve">Peak Jun–Aug, trough Dec–Feb</t>
  </si>
  <si>
    <t xml:space="preserve">Year-on-Year Trend</t>
  </si>
  <si>
    <t xml:space="preserve">Multi-year upward price trend</t>
  </si>
  <si>
    <t xml:space="preserve">Pepper Price (cross-commodity)</t>
  </si>
  <si>
    <t xml:space="preserve">Very Strong</t>
  </si>
  <si>
    <t xml:space="preserve">Very High</t>
  </si>
  <si>
    <t xml:space="preserve">Substitution effect – prices move together</t>
  </si>
  <si>
    <t xml:space="preserve">Lettuce Price (cross-commodity)</t>
  </si>
  <si>
    <t xml:space="preserve">Shared supply chain and demand drivers</t>
  </si>
  <si>
    <t xml:space="preserve">B. KEY MARKET FACTORS – CANADIAN PERISHABLE TOMATOES</t>
  </si>
  <si>
    <t xml:space="preserve">Supply Factors</t>
  </si>
  <si>
    <t xml:space="preserve">Ontario greenhouse area (ha)</t>
  </si>
  <si>
    <t xml:space="preserve">2,400 ha of greenhouse tomatoes – world-class controlled environment</t>
  </si>
  <si>
    <t xml:space="preserve">Seasonal field production</t>
  </si>
  <si>
    <t xml:space="preserve">Field tomatoes: Jun–Oct only. Greenhouse fills Jan–May &amp; Nov–Dec gap</t>
  </si>
  <si>
    <t xml:space="preserve">Import competition</t>
  </si>
  <si>
    <t xml:space="preserve">~35% of Canadian tomatoes imported from USA (FL, CA) and Mexico</t>
  </si>
  <si>
    <t xml:space="preserve">Yield variability</t>
  </si>
  <si>
    <t xml:space="preserve">Weather, disease, energy costs – typical ±15% yield variance annually</t>
  </si>
  <si>
    <t xml:space="preserve">Demand Factors</t>
  </si>
  <si>
    <t xml:space="preserve">Retail demand</t>
  </si>
  <si>
    <t xml:space="preserve">Tomatoes rank #3 in Canadian vegetable retail sales (Statistics Canada)</t>
  </si>
  <si>
    <t xml:space="preserve">Foodservice demand</t>
  </si>
  <si>
    <t xml:space="preserve">Highly seasonal – peaks with BBQ season (Jun–Aug) and holiday period</t>
  </si>
  <si>
    <t xml:space="preserve">Export potential</t>
  </si>
  <si>
    <t xml:space="preserve">Limited – Canada is net importer; small niche in US premium markets</t>
  </si>
  <si>
    <t xml:space="preserve">Population growth</t>
  </si>
  <si>
    <t xml:space="preserve">Immigration-driven demand growth ≈ 3–4% per year in Ontario</t>
  </si>
  <si>
    <t xml:space="preserve">Policy Factors</t>
  </si>
  <si>
    <t xml:space="preserve">Safe Food for Canadians Act</t>
  </si>
  <si>
    <t xml:space="preserve">Traceability requirements increase compliance costs ≈ CAD $8–12/t</t>
  </si>
  <si>
    <t xml:space="preserve">AgriInvest / AgriStability</t>
  </si>
  <si>
    <t xml:space="preserve">Income stabilisation supports floor pricing in down years</t>
  </si>
  <si>
    <t xml:space="preserve">Carbon tax on transport</t>
  </si>
  <si>
    <t xml:space="preserve">Adds ≈ CAD $3–5/t to distribution costs by 2025</t>
  </si>
  <si>
    <t xml:space="preserve">Trade agreements (CUSMA)</t>
  </si>
  <si>
    <t xml:space="preserve">Open US border – import price discipline on Canadian market prices</t>
  </si>
  <si>
    <t xml:space="preserve">MARKET PRICE DASHBOARD – EXECUTIVE SUMMARY</t>
  </si>
  <si>
    <t xml:space="preserve">Key market metrics for reporting to farm management and investors.</t>
  </si>
  <si>
    <t xml:space="preserve">CURRENT MARKET SNAPSHOT (Dec-2024 Actuals)</t>
  </si>
  <si>
    <t xml:space="preserve">Tomato Price – Latest (CAD $/t)</t>
  </si>
  <si>
    <t xml:space="preserve">Dec-2024 actual</t>
  </si>
  <si>
    <t xml:space="preserve">Pepper Price – Latest (CAD $/t)</t>
  </si>
  <si>
    <t xml:space="preserve">Lettuce Price – Latest (CAD $/t)</t>
  </si>
  <si>
    <t xml:space="preserve">Tomato YoY Change</t>
  </si>
  <si>
    <t xml:space="preserve">vs Dec-2023</t>
  </si>
  <si>
    <t xml:space="preserve">Pepper YoY Change</t>
  </si>
  <si>
    <t xml:space="preserve">3-Yr Tomato Price CAGR</t>
  </si>
  <si>
    <t xml:space="preserve">2022–2024</t>
  </si>
  <si>
    <t xml:space="preserve">Tomato Price Volatility (CV)</t>
  </si>
  <si>
    <t xml:space="preserve">Coefficient of variation</t>
  </si>
  <si>
    <t xml:space="preserve">Avg 2024 Tomato Price</t>
  </si>
  <si>
    <t xml:space="preserve">Jan–Dec 2024</t>
  </si>
  <si>
    <t xml:space="preserve">2025 PRICE FORECAST SUMMARY</t>
  </si>
  <si>
    <t xml:space="preserve">Avg Base Forecast – Tomatoes</t>
  </si>
  <si>
    <t xml:space="preserve">Central scenario</t>
  </si>
  <si>
    <t xml:space="preserve">Avg Bull Forecast – Tomatoes</t>
  </si>
  <si>
    <t xml:space="preserve">Supply disruption scenario</t>
  </si>
  <si>
    <t xml:space="preserve">Avg Bear Forecast – Tomatoes</t>
  </si>
  <si>
    <t xml:space="preserve">Oversupply scenario</t>
  </si>
  <si>
    <t xml:space="preserve">Forecast YoY Growth</t>
  </si>
  <si>
    <t xml:space="preserve">Base scenario vs 2024</t>
  </si>
  <si>
    <t xml:space="preserve">Peak Month (Base)</t>
  </si>
  <si>
    <t xml:space="preserve">Expected highest price month</t>
  </si>
  <si>
    <t xml:space="preserve">Trough Month (Base)</t>
  </si>
  <si>
    <t xml:space="preserve">Expected lowest price month</t>
  </si>
  <si>
    <t xml:space="preserve">MARKET RISK INDICATORS</t>
  </si>
  <si>
    <t xml:space="preserve">Price Volatility Risk</t>
  </si>
  <si>
    <t xml:space="preserve">MEDIUM</t>
  </si>
  <si>
    <t xml:space="preserve">Seasonal swings ±15% typical; drought risk higher in 2025</t>
  </si>
  <si>
    <t xml:space="preserve">Supply Risk</t>
  </si>
  <si>
    <t xml:space="preserve">LOW-MEDIUM</t>
  </si>
  <si>
    <t xml:space="preserve">Ontario greenhouse capacity increasing; import competition stable</t>
  </si>
  <si>
    <t xml:space="preserve">Input Cost Risk</t>
  </si>
  <si>
    <t xml:space="preserve">HIGH</t>
  </si>
  <si>
    <t xml:space="preserve">Labour shortfall + energy costs rising in 2025</t>
  </si>
  <si>
    <t xml:space="preserve">Demand Risk</t>
  </si>
  <si>
    <t xml:space="preserve">LOW</t>
  </si>
  <si>
    <t xml:space="preserve">Population growth supporting demand; foodservice recovering</t>
  </si>
  <si>
    <t xml:space="preserve">Currency Risk</t>
  </si>
  <si>
    <t xml:space="preserve">CAD/USD exposure on import-competing prices</t>
  </si>
  <si>
    <t xml:space="preserve">Regulatory Risk</t>
  </si>
  <si>
    <t xml:space="preserve">Carbon tax escalation; CFIA compliance costs increasing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</si>
</sst>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CAD $&quot;#,##0;&quot;(CAD $&quot;#,##0\);\-"/>
    <numFmt numFmtId="166" formatCode="#,##0.00;\(#,##0.00\);\-"/>
    <numFmt numFmtId="167" formatCode="0.0%;\(0.0%\);\-"/>
    <numFmt numFmtId="168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45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8C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4"/>
    <col collapsed="false" customWidth="true" hidden="false" outlineLevel="0" max="8" min="8" style="0" width="22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customFormat="false" ht="15.75" hidden="false" customHeight="true" outlineLevel="0" collapsed="false">
      <c r="B5" s="4" t="s">
        <v>9</v>
      </c>
      <c r="C5" s="5" t="n">
        <v>820</v>
      </c>
      <c r="D5" s="5" t="n">
        <v>1380</v>
      </c>
      <c r="E5" s="5" t="n">
        <v>510</v>
      </c>
      <c r="F5" s="6" t="n">
        <v>100</v>
      </c>
      <c r="G5" s="6" t="n">
        <v>100</v>
      </c>
      <c r="H5" s="4" t="s">
        <v>10</v>
      </c>
    </row>
    <row r="6" customFormat="false" ht="15.75" hidden="false" customHeight="true" outlineLevel="0" collapsed="false">
      <c r="B6" s="7" t="s">
        <v>11</v>
      </c>
      <c r="C6" s="5" t="n">
        <v>835</v>
      </c>
      <c r="D6" s="5" t="n">
        <v>1410</v>
      </c>
      <c r="E6" s="5" t="n">
        <v>490</v>
      </c>
      <c r="F6" s="8" t="n">
        <v>100.6</v>
      </c>
      <c r="G6" s="8" t="n">
        <v>102.1</v>
      </c>
      <c r="H6" s="7"/>
    </row>
    <row r="7" customFormat="false" ht="15.75" hidden="false" customHeight="true" outlineLevel="0" collapsed="false">
      <c r="B7" s="4" t="s">
        <v>12</v>
      </c>
      <c r="C7" s="5" t="n">
        <v>870</v>
      </c>
      <c r="D7" s="5" t="n">
        <v>1450</v>
      </c>
      <c r="E7" s="5" t="n">
        <v>530</v>
      </c>
      <c r="F7" s="6" t="n">
        <v>101.2</v>
      </c>
      <c r="G7" s="6" t="n">
        <v>108.4</v>
      </c>
      <c r="H7" s="4" t="s">
        <v>13</v>
      </c>
    </row>
    <row r="8" customFormat="false" ht="15.75" hidden="false" customHeight="true" outlineLevel="0" collapsed="false">
      <c r="B8" s="7" t="s">
        <v>14</v>
      </c>
      <c r="C8" s="5" t="n">
        <v>910</v>
      </c>
      <c r="D8" s="5" t="n">
        <v>1490</v>
      </c>
      <c r="E8" s="5" t="n">
        <v>560</v>
      </c>
      <c r="F8" s="8" t="n">
        <v>102</v>
      </c>
      <c r="G8" s="8" t="n">
        <v>115.2</v>
      </c>
      <c r="H8" s="7" t="s">
        <v>15</v>
      </c>
    </row>
    <row r="9" customFormat="false" ht="15.75" hidden="false" customHeight="true" outlineLevel="0" collapsed="false">
      <c r="B9" s="4" t="s">
        <v>16</v>
      </c>
      <c r="C9" s="5" t="n">
        <v>960</v>
      </c>
      <c r="D9" s="5" t="n">
        <v>1540</v>
      </c>
      <c r="E9" s="5" t="n">
        <v>580</v>
      </c>
      <c r="F9" s="6" t="n">
        <v>102.8</v>
      </c>
      <c r="G9" s="6" t="n">
        <v>118.6</v>
      </c>
      <c r="H9" s="4" t="s">
        <v>17</v>
      </c>
    </row>
    <row r="10" customFormat="false" ht="15.75" hidden="false" customHeight="true" outlineLevel="0" collapsed="false">
      <c r="B10" s="7" t="s">
        <v>18</v>
      </c>
      <c r="C10" s="5" t="n">
        <v>1020</v>
      </c>
      <c r="D10" s="5" t="n">
        <v>1620</v>
      </c>
      <c r="E10" s="5" t="n">
        <v>610</v>
      </c>
      <c r="F10" s="8" t="n">
        <v>103.5</v>
      </c>
      <c r="G10" s="8" t="n">
        <v>121.3</v>
      </c>
      <c r="H10" s="7" t="s">
        <v>19</v>
      </c>
    </row>
    <row r="11" customFormat="false" ht="15.75" hidden="false" customHeight="true" outlineLevel="0" collapsed="false">
      <c r="B11" s="4" t="s">
        <v>20</v>
      </c>
      <c r="C11" s="5" t="n">
        <v>1050</v>
      </c>
      <c r="D11" s="5" t="n">
        <v>1680</v>
      </c>
      <c r="E11" s="5" t="n">
        <v>590</v>
      </c>
      <c r="F11" s="6" t="n">
        <v>104.1</v>
      </c>
      <c r="G11" s="6" t="n">
        <v>122.8</v>
      </c>
      <c r="H11" s="4" t="s">
        <v>21</v>
      </c>
    </row>
    <row r="12" customFormat="false" ht="15.75" hidden="false" customHeight="true" outlineLevel="0" collapsed="false">
      <c r="B12" s="7" t="s">
        <v>22</v>
      </c>
      <c r="C12" s="5" t="n">
        <v>1030</v>
      </c>
      <c r="D12" s="5" t="n">
        <v>1650</v>
      </c>
      <c r="E12" s="5" t="n">
        <v>570</v>
      </c>
      <c r="F12" s="8" t="n">
        <v>104.3</v>
      </c>
      <c r="G12" s="8" t="n">
        <v>119.4</v>
      </c>
      <c r="H12" s="7" t="s">
        <v>23</v>
      </c>
    </row>
    <row r="13" customFormat="false" ht="15.75" hidden="false" customHeight="true" outlineLevel="0" collapsed="false">
      <c r="B13" s="4" t="s">
        <v>24</v>
      </c>
      <c r="C13" s="5" t="n">
        <v>990</v>
      </c>
      <c r="D13" s="5" t="n">
        <v>1600</v>
      </c>
      <c r="E13" s="5" t="n">
        <v>550</v>
      </c>
      <c r="F13" s="6" t="n">
        <v>104.6</v>
      </c>
      <c r="G13" s="6" t="n">
        <v>114.2</v>
      </c>
      <c r="H13" s="4" t="s">
        <v>25</v>
      </c>
    </row>
    <row r="14" customFormat="false" ht="15.75" hidden="false" customHeight="true" outlineLevel="0" collapsed="false">
      <c r="B14" s="7" t="s">
        <v>26</v>
      </c>
      <c r="C14" s="5" t="n">
        <v>940</v>
      </c>
      <c r="D14" s="5" t="n">
        <v>1540</v>
      </c>
      <c r="E14" s="5" t="n">
        <v>530</v>
      </c>
      <c r="F14" s="8" t="n">
        <v>105</v>
      </c>
      <c r="G14" s="8" t="n">
        <v>110.8</v>
      </c>
      <c r="H14" s="7" t="s">
        <v>27</v>
      </c>
    </row>
    <row r="15" customFormat="false" ht="15.75" hidden="false" customHeight="true" outlineLevel="0" collapsed="false">
      <c r="B15" s="4" t="s">
        <v>28</v>
      </c>
      <c r="C15" s="5" t="n">
        <v>880</v>
      </c>
      <c r="D15" s="5" t="n">
        <v>1480</v>
      </c>
      <c r="E15" s="5" t="n">
        <v>500</v>
      </c>
      <c r="F15" s="6" t="n">
        <v>105.4</v>
      </c>
      <c r="G15" s="6" t="n">
        <v>107.3</v>
      </c>
      <c r="H15" s="4" t="s">
        <v>29</v>
      </c>
    </row>
    <row r="16" customFormat="false" ht="15.75" hidden="false" customHeight="true" outlineLevel="0" collapsed="false">
      <c r="B16" s="7" t="s">
        <v>30</v>
      </c>
      <c r="C16" s="5" t="n">
        <v>850</v>
      </c>
      <c r="D16" s="5" t="n">
        <v>1430</v>
      </c>
      <c r="E16" s="5" t="n">
        <v>480</v>
      </c>
      <c r="F16" s="8" t="n">
        <v>105.8</v>
      </c>
      <c r="G16" s="8" t="n">
        <v>104.1</v>
      </c>
      <c r="H16" s="7" t="s">
        <v>31</v>
      </c>
    </row>
    <row r="17" customFormat="false" ht="15.75" hidden="false" customHeight="true" outlineLevel="0" collapsed="false">
      <c r="B17" s="4" t="s">
        <v>32</v>
      </c>
      <c r="C17" s="5" t="n">
        <v>855</v>
      </c>
      <c r="D17" s="5" t="n">
        <v>1440</v>
      </c>
      <c r="E17" s="5" t="n">
        <v>495</v>
      </c>
      <c r="F17" s="6" t="n">
        <v>106.3</v>
      </c>
      <c r="G17" s="6" t="n">
        <v>101.8</v>
      </c>
      <c r="H17" s="4" t="s">
        <v>33</v>
      </c>
    </row>
    <row r="18" customFormat="false" ht="15.75" hidden="false" customHeight="true" outlineLevel="0" collapsed="false">
      <c r="B18" s="7" t="s">
        <v>34</v>
      </c>
      <c r="C18" s="5" t="n">
        <v>870</v>
      </c>
      <c r="D18" s="5" t="n">
        <v>1460</v>
      </c>
      <c r="E18" s="5" t="n">
        <v>505</v>
      </c>
      <c r="F18" s="8" t="n">
        <v>106.9</v>
      </c>
      <c r="G18" s="8" t="n">
        <v>103.2</v>
      </c>
      <c r="H18" s="7"/>
    </row>
    <row r="19" customFormat="false" ht="15.75" hidden="false" customHeight="true" outlineLevel="0" collapsed="false">
      <c r="B19" s="4" t="s">
        <v>35</v>
      </c>
      <c r="C19" s="5" t="n">
        <v>900</v>
      </c>
      <c r="D19" s="5" t="n">
        <v>1490</v>
      </c>
      <c r="E19" s="5" t="n">
        <v>535</v>
      </c>
      <c r="F19" s="6" t="n">
        <v>107.5</v>
      </c>
      <c r="G19" s="6" t="n">
        <v>106.8</v>
      </c>
      <c r="H19" s="4"/>
    </row>
    <row r="20" customFormat="false" ht="15.75" hidden="false" customHeight="true" outlineLevel="0" collapsed="false">
      <c r="B20" s="7" t="s">
        <v>36</v>
      </c>
      <c r="C20" s="5" t="n">
        <v>945</v>
      </c>
      <c r="D20" s="5" t="n">
        <v>1530</v>
      </c>
      <c r="E20" s="5" t="n">
        <v>565</v>
      </c>
      <c r="F20" s="8" t="n">
        <v>108.2</v>
      </c>
      <c r="G20" s="8" t="n">
        <v>109.4</v>
      </c>
      <c r="H20" s="7"/>
    </row>
    <row r="21" customFormat="false" ht="15.75" hidden="false" customHeight="true" outlineLevel="0" collapsed="false">
      <c r="B21" s="4" t="s">
        <v>37</v>
      </c>
      <c r="C21" s="5" t="n">
        <v>985</v>
      </c>
      <c r="D21" s="5" t="n">
        <v>1570</v>
      </c>
      <c r="E21" s="5" t="n">
        <v>590</v>
      </c>
      <c r="F21" s="6" t="n">
        <v>108.8</v>
      </c>
      <c r="G21" s="6" t="n">
        <v>111.2</v>
      </c>
      <c r="H21" s="4" t="s">
        <v>38</v>
      </c>
    </row>
    <row r="22" customFormat="false" ht="15.75" hidden="false" customHeight="true" outlineLevel="0" collapsed="false">
      <c r="B22" s="7" t="s">
        <v>39</v>
      </c>
      <c r="C22" s="5" t="n">
        <v>1040</v>
      </c>
      <c r="D22" s="5" t="n">
        <v>1640</v>
      </c>
      <c r="E22" s="5" t="n">
        <v>625</v>
      </c>
      <c r="F22" s="8" t="n">
        <v>109.4</v>
      </c>
      <c r="G22" s="8" t="n">
        <v>113.8</v>
      </c>
      <c r="H22" s="7" t="s">
        <v>40</v>
      </c>
    </row>
    <row r="23" customFormat="false" ht="15.75" hidden="false" customHeight="true" outlineLevel="0" collapsed="false">
      <c r="B23" s="4" t="s">
        <v>41</v>
      </c>
      <c r="C23" s="5" t="n">
        <v>1075</v>
      </c>
      <c r="D23" s="5" t="n">
        <v>1700</v>
      </c>
      <c r="E23" s="5" t="n">
        <v>608</v>
      </c>
      <c r="F23" s="6" t="n">
        <v>109.9</v>
      </c>
      <c r="G23" s="6" t="n">
        <v>115.1</v>
      </c>
      <c r="H23" s="4" t="s">
        <v>42</v>
      </c>
    </row>
    <row r="24" customFormat="false" ht="15.75" hidden="false" customHeight="true" outlineLevel="0" collapsed="false">
      <c r="B24" s="7" t="s">
        <v>43</v>
      </c>
      <c r="C24" s="5" t="n">
        <v>1055</v>
      </c>
      <c r="D24" s="5" t="n">
        <v>1670</v>
      </c>
      <c r="E24" s="5" t="n">
        <v>585</v>
      </c>
      <c r="F24" s="8" t="n">
        <v>110.2</v>
      </c>
      <c r="G24" s="8" t="n">
        <v>113.6</v>
      </c>
      <c r="H24" s="7"/>
    </row>
    <row r="25" customFormat="false" ht="15.75" hidden="false" customHeight="true" outlineLevel="0" collapsed="false">
      <c r="B25" s="4" t="s">
        <v>44</v>
      </c>
      <c r="C25" s="5" t="n">
        <v>1010</v>
      </c>
      <c r="D25" s="5" t="n">
        <v>1620</v>
      </c>
      <c r="E25" s="5" t="n">
        <v>558</v>
      </c>
      <c r="F25" s="6" t="n">
        <v>110.6</v>
      </c>
      <c r="G25" s="6" t="n">
        <v>110.9</v>
      </c>
      <c r="H25" s="4"/>
    </row>
    <row r="26" customFormat="false" ht="15.75" hidden="false" customHeight="true" outlineLevel="0" collapsed="false">
      <c r="B26" s="7" t="s">
        <v>45</v>
      </c>
      <c r="C26" s="5" t="n">
        <v>958</v>
      </c>
      <c r="D26" s="5" t="n">
        <v>1555</v>
      </c>
      <c r="E26" s="5" t="n">
        <v>534</v>
      </c>
      <c r="F26" s="8" t="n">
        <v>111</v>
      </c>
      <c r="G26" s="8" t="n">
        <v>108.4</v>
      </c>
      <c r="H26" s="7"/>
    </row>
    <row r="27" customFormat="false" ht="15.75" hidden="false" customHeight="true" outlineLevel="0" collapsed="false">
      <c r="B27" s="4" t="s">
        <v>46</v>
      </c>
      <c r="C27" s="5" t="n">
        <v>905</v>
      </c>
      <c r="D27" s="5" t="n">
        <v>1495</v>
      </c>
      <c r="E27" s="5" t="n">
        <v>508</v>
      </c>
      <c r="F27" s="6" t="n">
        <v>111.5</v>
      </c>
      <c r="G27" s="6" t="n">
        <v>105.8</v>
      </c>
      <c r="H27" s="4"/>
    </row>
    <row r="28" customFormat="false" ht="15.75" hidden="false" customHeight="true" outlineLevel="0" collapsed="false">
      <c r="B28" s="7" t="s">
        <v>47</v>
      </c>
      <c r="C28" s="5" t="n">
        <v>875</v>
      </c>
      <c r="D28" s="5" t="n">
        <v>1448</v>
      </c>
      <c r="E28" s="5" t="n">
        <v>488</v>
      </c>
      <c r="F28" s="8" t="n">
        <v>111.9</v>
      </c>
      <c r="G28" s="8" t="n">
        <v>103.5</v>
      </c>
      <c r="H28" s="7"/>
    </row>
    <row r="29" customFormat="false" ht="15.75" hidden="false" customHeight="true" outlineLevel="0" collapsed="false">
      <c r="B29" s="4" t="s">
        <v>48</v>
      </c>
      <c r="C29" s="5" t="n">
        <v>888</v>
      </c>
      <c r="D29" s="5" t="n">
        <v>1462</v>
      </c>
      <c r="E29" s="5" t="n">
        <v>502</v>
      </c>
      <c r="F29" s="6" t="n">
        <v>112.5</v>
      </c>
      <c r="G29" s="6" t="n">
        <v>102.4</v>
      </c>
      <c r="H29" s="4"/>
    </row>
    <row r="30" customFormat="false" ht="15.75" hidden="false" customHeight="true" outlineLevel="0" collapsed="false">
      <c r="B30" s="7" t="s">
        <v>49</v>
      </c>
      <c r="C30" s="5" t="n">
        <v>902</v>
      </c>
      <c r="D30" s="5" t="n">
        <v>1478</v>
      </c>
      <c r="E30" s="5" t="n">
        <v>515</v>
      </c>
      <c r="F30" s="8" t="n">
        <v>113.1</v>
      </c>
      <c r="G30" s="8" t="n">
        <v>104.8</v>
      </c>
      <c r="H30" s="7"/>
    </row>
    <row r="31" customFormat="false" ht="15.75" hidden="false" customHeight="true" outlineLevel="0" collapsed="false">
      <c r="B31" s="4" t="s">
        <v>50</v>
      </c>
      <c r="C31" s="5" t="n">
        <v>932</v>
      </c>
      <c r="D31" s="5" t="n">
        <v>1512</v>
      </c>
      <c r="E31" s="5" t="n">
        <v>542</v>
      </c>
      <c r="F31" s="6" t="n">
        <v>113.8</v>
      </c>
      <c r="G31" s="6" t="n">
        <v>107.6</v>
      </c>
      <c r="H31" s="4"/>
    </row>
    <row r="32" customFormat="false" ht="15.75" hidden="false" customHeight="true" outlineLevel="0" collapsed="false">
      <c r="B32" s="7" t="s">
        <v>51</v>
      </c>
      <c r="C32" s="5" t="n">
        <v>968</v>
      </c>
      <c r="D32" s="5" t="n">
        <v>1558</v>
      </c>
      <c r="E32" s="5" t="n">
        <v>572</v>
      </c>
      <c r="F32" s="8" t="n">
        <v>114.5</v>
      </c>
      <c r="G32" s="8" t="n">
        <v>110.3</v>
      </c>
      <c r="H32" s="7"/>
    </row>
    <row r="33" customFormat="false" ht="15.75" hidden="false" customHeight="true" outlineLevel="0" collapsed="false">
      <c r="B33" s="4" t="s">
        <v>52</v>
      </c>
      <c r="C33" s="5" t="n">
        <v>1008</v>
      </c>
      <c r="D33" s="5" t="n">
        <v>1598</v>
      </c>
      <c r="E33" s="5" t="n">
        <v>598</v>
      </c>
      <c r="F33" s="6" t="n">
        <v>115.2</v>
      </c>
      <c r="G33" s="6" t="n">
        <v>112.8</v>
      </c>
      <c r="H33" s="4" t="s">
        <v>53</v>
      </c>
    </row>
    <row r="34" customFormat="false" ht="15.75" hidden="false" customHeight="true" outlineLevel="0" collapsed="false">
      <c r="B34" s="7" t="s">
        <v>54</v>
      </c>
      <c r="C34" s="5" t="n">
        <v>1062</v>
      </c>
      <c r="D34" s="5" t="n">
        <v>1662</v>
      </c>
      <c r="E34" s="5" t="n">
        <v>630</v>
      </c>
      <c r="F34" s="8" t="n">
        <v>115.8</v>
      </c>
      <c r="G34" s="8" t="n">
        <v>115.4</v>
      </c>
      <c r="H34" s="7" t="s">
        <v>55</v>
      </c>
    </row>
    <row r="35" customFormat="false" ht="15.75" hidden="false" customHeight="true" outlineLevel="0" collapsed="false">
      <c r="B35" s="4" t="s">
        <v>56</v>
      </c>
      <c r="C35" s="5" t="n">
        <v>1088</v>
      </c>
      <c r="D35" s="5" t="n">
        <v>1718</v>
      </c>
      <c r="E35" s="5" t="n">
        <v>615</v>
      </c>
      <c r="F35" s="6" t="n">
        <v>116.3</v>
      </c>
      <c r="G35" s="6" t="n">
        <v>116.9</v>
      </c>
      <c r="H35" s="4" t="s">
        <v>57</v>
      </c>
    </row>
    <row r="36" customFormat="false" ht="15.75" hidden="false" customHeight="true" outlineLevel="0" collapsed="false">
      <c r="B36" s="7" t="s">
        <v>58</v>
      </c>
      <c r="C36" s="5" t="n">
        <v>1068</v>
      </c>
      <c r="D36" s="5" t="n">
        <v>1685</v>
      </c>
      <c r="E36" s="5" t="n">
        <v>592</v>
      </c>
      <c r="F36" s="8" t="n">
        <v>116.7</v>
      </c>
      <c r="G36" s="8" t="n">
        <v>114.8</v>
      </c>
      <c r="H36" s="7"/>
    </row>
    <row r="37" customFormat="false" ht="15.75" hidden="false" customHeight="true" outlineLevel="0" collapsed="false">
      <c r="B37" s="4" t="s">
        <v>59</v>
      </c>
      <c r="C37" s="5" t="n">
        <v>1022</v>
      </c>
      <c r="D37" s="5" t="n">
        <v>1632</v>
      </c>
      <c r="E37" s="5" t="n">
        <v>564</v>
      </c>
      <c r="F37" s="6" t="n">
        <v>117.1</v>
      </c>
      <c r="G37" s="6" t="n">
        <v>112.1</v>
      </c>
      <c r="H37" s="4"/>
    </row>
    <row r="38" customFormat="false" ht="15.75" hidden="false" customHeight="true" outlineLevel="0" collapsed="false">
      <c r="B38" s="7" t="s">
        <v>60</v>
      </c>
      <c r="C38" s="5" t="n">
        <v>972</v>
      </c>
      <c r="D38" s="5" t="n">
        <v>1568</v>
      </c>
      <c r="E38" s="5" t="n">
        <v>540</v>
      </c>
      <c r="F38" s="8" t="n">
        <v>117.5</v>
      </c>
      <c r="G38" s="8" t="n">
        <v>109.6</v>
      </c>
      <c r="H38" s="7"/>
    </row>
    <row r="39" customFormat="false" ht="15.75" hidden="false" customHeight="true" outlineLevel="0" collapsed="false">
      <c r="B39" s="4" t="s">
        <v>61</v>
      </c>
      <c r="C39" s="5" t="n">
        <v>918</v>
      </c>
      <c r="D39" s="5" t="n">
        <v>1505</v>
      </c>
      <c r="E39" s="5" t="n">
        <v>512</v>
      </c>
      <c r="F39" s="6" t="n">
        <v>117.9</v>
      </c>
      <c r="G39" s="6" t="n">
        <v>106.9</v>
      </c>
      <c r="H39" s="4"/>
    </row>
    <row r="40" customFormat="false" ht="15.75" hidden="false" customHeight="true" outlineLevel="0" collapsed="false">
      <c r="B40" s="7" t="s">
        <v>62</v>
      </c>
      <c r="C40" s="5" t="n">
        <v>888</v>
      </c>
      <c r="D40" s="5" t="n">
        <v>1458</v>
      </c>
      <c r="E40" s="5" t="n">
        <v>492</v>
      </c>
      <c r="F40" s="8" t="n">
        <v>118.4</v>
      </c>
      <c r="G40" s="8" t="n">
        <v>104.5</v>
      </c>
      <c r="H40" s="7" t="s">
        <v>63</v>
      </c>
    </row>
    <row r="41" customFormat="false" ht="7.5" hidden="false" customHeight="true" outlineLevel="0" collapsed="false"/>
    <row r="42" customFormat="false" ht="19.5" hidden="false" customHeight="true" outlineLevel="0" collapsed="false">
      <c r="B42" s="9" t="s">
        <v>64</v>
      </c>
      <c r="C42" s="9"/>
      <c r="D42" s="9"/>
      <c r="E42" s="9"/>
      <c r="F42" s="9"/>
      <c r="G42" s="9"/>
      <c r="H42" s="9"/>
    </row>
    <row r="43" customFormat="false" ht="18" hidden="false" customHeight="true" outlineLevel="0" collapsed="false">
      <c r="B43" s="10" t="s">
        <v>65</v>
      </c>
      <c r="C43" s="11" t="n">
        <f aca="false">AVERAGE(C5:C40)</f>
        <v>954</v>
      </c>
      <c r="D43" s="11" t="n">
        <f aca="false">AVERAGE(D5:D40)</f>
        <v>1547.88888888889</v>
      </c>
      <c r="E43" s="11" t="n">
        <f aca="false">AVERAGE(E5:E40)</f>
        <v>549.166666666667</v>
      </c>
    </row>
    <row r="44" customFormat="false" ht="18" hidden="false" customHeight="true" outlineLevel="0" collapsed="false">
      <c r="B44" s="12" t="s">
        <v>66</v>
      </c>
      <c r="C44" s="13" t="n">
        <f aca="false">MAX(C5:C40)</f>
        <v>1088</v>
      </c>
      <c r="D44" s="13" t="n">
        <f aca="false">MAX(D5:D40)</f>
        <v>1718</v>
      </c>
      <c r="E44" s="13" t="n">
        <f aca="false">MAX(E5:E40)</f>
        <v>630</v>
      </c>
    </row>
    <row r="45" customFormat="false" ht="18" hidden="false" customHeight="true" outlineLevel="0" collapsed="false">
      <c r="B45" s="10" t="s">
        <v>67</v>
      </c>
      <c r="C45" s="11" t="n">
        <f aca="false">MIN(C5:C40)</f>
        <v>820</v>
      </c>
      <c r="D45" s="11" t="n">
        <f aca="false">MIN(D5:D40)</f>
        <v>1380</v>
      </c>
      <c r="E45" s="11" t="n">
        <f aca="false">MIN(E5:E40)</f>
        <v>480</v>
      </c>
    </row>
    <row r="46" customFormat="false" ht="18" hidden="false" customHeight="true" outlineLevel="0" collapsed="false">
      <c r="B46" s="12" t="s">
        <v>68</v>
      </c>
      <c r="C46" s="13" t="n">
        <f aca="false">STDEV(C5:C40)</f>
        <v>76.9036502941923</v>
      </c>
      <c r="D46" s="13" t="n">
        <f aca="false">STDEV(D5:D40)</f>
        <v>92.1122848260373</v>
      </c>
      <c r="E46" s="13" t="n">
        <f aca="false">STDEV(E5:E40)</f>
        <v>43.7822534171748</v>
      </c>
    </row>
    <row r="47" customFormat="false" ht="18" hidden="false" customHeight="true" outlineLevel="0" collapsed="false">
      <c r="B47" s="10" t="s">
        <v>69</v>
      </c>
      <c r="C47" s="14" t="n">
        <f aca="false">IFERROR(D43/D42,0)</f>
        <v>0</v>
      </c>
      <c r="D47" s="14" t="n">
        <f aca="false">IFERROR(E43/E42,0)</f>
        <v>0</v>
      </c>
      <c r="E47" s="14" t="n">
        <f aca="false">IFERROR(F43/F42,0)</f>
        <v>0</v>
      </c>
    </row>
    <row r="48" customFormat="false" ht="18" hidden="false" customHeight="true" outlineLevel="0" collapsed="false">
      <c r="B48" s="12" t="s">
        <v>70</v>
      </c>
      <c r="C48" s="15" t="n">
        <f aca="false">IFERROR((C40-C5)/C5,0)</f>
        <v>0.0829268292682927</v>
      </c>
      <c r="D48" s="15" t="n">
        <f aca="false">IFERROR((D40-D5)/D5,0)</f>
        <v>0.0565217391304348</v>
      </c>
      <c r="E48" s="15" t="n">
        <f aca="false">IFERROR((E40-E5)/E5,0)</f>
        <v>-0.0352941176470588</v>
      </c>
    </row>
    <row r="49" customFormat="false" ht="18" hidden="false" customHeight="true" outlineLevel="0" collapsed="false">
      <c r="B49" s="10" t="s">
        <v>71</v>
      </c>
      <c r="C49" s="14" t="n">
        <f aca="false">IFERROR(D47/35,0)</f>
        <v>0</v>
      </c>
      <c r="D49" s="14" t="n">
        <f aca="false">IFERROR(E47/35,0)</f>
        <v>0</v>
      </c>
      <c r="E49" s="14" t="n">
        <f aca="false">IFERROR(F47/35,0)</f>
        <v>0</v>
      </c>
    </row>
  </sheetData>
  <mergeCells count="3">
    <mergeCell ref="B1:H1"/>
    <mergeCell ref="B2:H2"/>
    <mergeCell ref="B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22"/>
  </cols>
  <sheetData>
    <row r="1" customFormat="false" ht="27.75" hidden="false" customHeight="true" outlineLevel="0" collapsed="false">
      <c r="B1" s="1" t="s">
        <v>72</v>
      </c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B2" s="2" t="s">
        <v>73</v>
      </c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  <c r="J4" s="3" t="s">
        <v>82</v>
      </c>
      <c r="K4" s="3" t="s">
        <v>83</v>
      </c>
    </row>
    <row r="5" customFormat="false" ht="15.75" hidden="false" customHeight="true" outlineLevel="0" collapsed="false">
      <c r="B5" s="4" t="s">
        <v>9</v>
      </c>
      <c r="C5" s="16" t="n">
        <f aca="false">'Historical Data'!C5</f>
        <v>820</v>
      </c>
      <c r="D5" s="17"/>
      <c r="E5" s="17"/>
      <c r="F5" s="17"/>
      <c r="G5" s="17"/>
      <c r="H5" s="17"/>
      <c r="I5" s="17"/>
      <c r="J5" s="17"/>
      <c r="K5" s="17"/>
    </row>
    <row r="6" customFormat="false" ht="15.75" hidden="false" customHeight="true" outlineLevel="0" collapsed="false">
      <c r="B6" s="7" t="s">
        <v>11</v>
      </c>
      <c r="C6" s="18" t="n">
        <f aca="false">'Historical Data'!C6</f>
        <v>835</v>
      </c>
      <c r="D6" s="19"/>
      <c r="E6" s="19"/>
      <c r="F6" s="19"/>
      <c r="G6" s="20" t="n">
        <f aca="false">IFERROR((C6-C5)/C5,0)</f>
        <v>0.0182926829268293</v>
      </c>
      <c r="H6" s="19"/>
      <c r="I6" s="19"/>
      <c r="J6" s="19"/>
      <c r="K6" s="19"/>
    </row>
    <row r="7" customFormat="false" ht="15.75" hidden="false" customHeight="true" outlineLevel="0" collapsed="false">
      <c r="B7" s="4" t="s">
        <v>12</v>
      </c>
      <c r="C7" s="16" t="n">
        <f aca="false">'Historical Data'!C7</f>
        <v>870</v>
      </c>
      <c r="D7" s="21" t="n">
        <f aca="false">AVERAGE(C5:C7)</f>
        <v>841.666666666667</v>
      </c>
      <c r="E7" s="17"/>
      <c r="F7" s="17"/>
      <c r="G7" s="22" t="n">
        <f aca="false">IFERROR((C7-C6)/C6,0)</f>
        <v>0.0419161676646707</v>
      </c>
      <c r="H7" s="17"/>
      <c r="I7" s="17"/>
      <c r="J7" s="17"/>
      <c r="K7" s="17"/>
    </row>
    <row r="8" customFormat="false" ht="15.75" hidden="false" customHeight="true" outlineLevel="0" collapsed="false">
      <c r="B8" s="7" t="s">
        <v>14</v>
      </c>
      <c r="C8" s="18" t="n">
        <f aca="false">'Historical Data'!C8</f>
        <v>910</v>
      </c>
      <c r="D8" s="23" t="n">
        <f aca="false">AVERAGE(C6:C8)</f>
        <v>871.666666666667</v>
      </c>
      <c r="E8" s="19"/>
      <c r="F8" s="19"/>
      <c r="G8" s="20" t="n">
        <f aca="false">IFERROR((C8-C7)/C7,0)</f>
        <v>0.0459770114942529</v>
      </c>
      <c r="H8" s="19"/>
      <c r="I8" s="19"/>
      <c r="J8" s="19"/>
      <c r="K8" s="19"/>
    </row>
    <row r="9" customFormat="false" ht="15.75" hidden="false" customHeight="true" outlineLevel="0" collapsed="false">
      <c r="B9" s="4" t="s">
        <v>16</v>
      </c>
      <c r="C9" s="16" t="n">
        <f aca="false">'Historical Data'!C9</f>
        <v>960</v>
      </c>
      <c r="D9" s="21" t="n">
        <f aca="false">AVERAGE(C7:C9)</f>
        <v>913.333333333333</v>
      </c>
      <c r="E9" s="17"/>
      <c r="F9" s="17"/>
      <c r="G9" s="22" t="n">
        <f aca="false">IFERROR((C9-C8)/C8,0)</f>
        <v>0.0549450549450549</v>
      </c>
      <c r="H9" s="17"/>
      <c r="I9" s="17"/>
      <c r="J9" s="17"/>
      <c r="K9" s="17"/>
    </row>
    <row r="10" customFormat="false" ht="15.75" hidden="false" customHeight="true" outlineLevel="0" collapsed="false">
      <c r="B10" s="7" t="s">
        <v>18</v>
      </c>
      <c r="C10" s="18" t="n">
        <f aca="false">'Historical Data'!C10</f>
        <v>1020</v>
      </c>
      <c r="D10" s="23" t="n">
        <f aca="false">AVERAGE(C8:C10)</f>
        <v>963.333333333333</v>
      </c>
      <c r="E10" s="23" t="n">
        <f aca="false">AVERAGE(C5:C10)</f>
        <v>902.5</v>
      </c>
      <c r="F10" s="19"/>
      <c r="G10" s="20" t="n">
        <f aca="false">IFERROR((C10-C9)/C9,0)</f>
        <v>0.0625</v>
      </c>
      <c r="H10" s="19"/>
      <c r="I10" s="19"/>
      <c r="J10" s="19"/>
      <c r="K10" s="19"/>
    </row>
    <row r="11" customFormat="false" ht="15.75" hidden="false" customHeight="true" outlineLevel="0" collapsed="false">
      <c r="B11" s="4" t="s">
        <v>20</v>
      </c>
      <c r="C11" s="16" t="n">
        <f aca="false">'Historical Data'!C11</f>
        <v>1050</v>
      </c>
      <c r="D11" s="21" t="n">
        <f aca="false">AVERAGE(C9:C11)</f>
        <v>1010</v>
      </c>
      <c r="E11" s="21" t="n">
        <f aca="false">AVERAGE(C6:C11)</f>
        <v>940.833333333333</v>
      </c>
      <c r="F11" s="17"/>
      <c r="G11" s="22" t="n">
        <f aca="false">IFERROR((C11-C10)/C10,0)</f>
        <v>0.0294117647058824</v>
      </c>
      <c r="H11" s="17"/>
      <c r="I11" s="17"/>
      <c r="J11" s="17"/>
      <c r="K11" s="17"/>
    </row>
    <row r="12" customFormat="false" ht="15.75" hidden="false" customHeight="true" outlineLevel="0" collapsed="false">
      <c r="B12" s="7" t="s">
        <v>22</v>
      </c>
      <c r="C12" s="18" t="n">
        <f aca="false">'Historical Data'!C12</f>
        <v>1030</v>
      </c>
      <c r="D12" s="23" t="n">
        <f aca="false">AVERAGE(C10:C12)</f>
        <v>1033.33333333333</v>
      </c>
      <c r="E12" s="23" t="n">
        <f aca="false">AVERAGE(C7:C12)</f>
        <v>973.333333333333</v>
      </c>
      <c r="F12" s="19"/>
      <c r="G12" s="20" t="n">
        <f aca="false">IFERROR((C12-C11)/C11,0)</f>
        <v>-0.0190476190476191</v>
      </c>
      <c r="H12" s="19"/>
      <c r="I12" s="19"/>
      <c r="J12" s="19"/>
      <c r="K12" s="19"/>
    </row>
    <row r="13" customFormat="false" ht="15.75" hidden="false" customHeight="true" outlineLevel="0" collapsed="false">
      <c r="B13" s="4" t="s">
        <v>24</v>
      </c>
      <c r="C13" s="16" t="n">
        <f aca="false">'Historical Data'!C13</f>
        <v>990</v>
      </c>
      <c r="D13" s="21" t="n">
        <f aca="false">AVERAGE(C11:C13)</f>
        <v>1023.33333333333</v>
      </c>
      <c r="E13" s="21" t="n">
        <f aca="false">AVERAGE(C8:C13)</f>
        <v>993.333333333333</v>
      </c>
      <c r="F13" s="17"/>
      <c r="G13" s="22" t="n">
        <f aca="false">IFERROR((C13-C12)/C12,0)</f>
        <v>-0.0388349514563107</v>
      </c>
      <c r="H13" s="17"/>
      <c r="I13" s="17"/>
      <c r="J13" s="17"/>
      <c r="K13" s="17"/>
    </row>
    <row r="14" customFormat="false" ht="15.75" hidden="false" customHeight="true" outlineLevel="0" collapsed="false">
      <c r="B14" s="7" t="s">
        <v>26</v>
      </c>
      <c r="C14" s="18" t="n">
        <f aca="false">'Historical Data'!C14</f>
        <v>940</v>
      </c>
      <c r="D14" s="23" t="n">
        <f aca="false">AVERAGE(C12:C14)</f>
        <v>986.666666666667</v>
      </c>
      <c r="E14" s="23" t="n">
        <f aca="false">AVERAGE(C9:C14)</f>
        <v>998.333333333333</v>
      </c>
      <c r="F14" s="19"/>
      <c r="G14" s="20" t="n">
        <f aca="false">IFERROR((C14-C13)/C13,0)</f>
        <v>-0.0505050505050505</v>
      </c>
      <c r="H14" s="19"/>
      <c r="I14" s="19"/>
      <c r="J14" s="19"/>
      <c r="K14" s="19"/>
    </row>
    <row r="15" customFormat="false" ht="15.75" hidden="false" customHeight="true" outlineLevel="0" collapsed="false">
      <c r="B15" s="4" t="s">
        <v>28</v>
      </c>
      <c r="C15" s="16" t="n">
        <f aca="false">'Historical Data'!C15</f>
        <v>880</v>
      </c>
      <c r="D15" s="21" t="n">
        <f aca="false">AVERAGE(C13:C15)</f>
        <v>936.666666666667</v>
      </c>
      <c r="E15" s="21" t="n">
        <f aca="false">AVERAGE(C10:C15)</f>
        <v>985</v>
      </c>
      <c r="F15" s="17"/>
      <c r="G15" s="22" t="n">
        <f aca="false">IFERROR((C15-C14)/C14,0)</f>
        <v>-0.0638297872340426</v>
      </c>
      <c r="H15" s="17"/>
      <c r="I15" s="17"/>
      <c r="J15" s="17"/>
      <c r="K15" s="17"/>
    </row>
    <row r="16" customFormat="false" ht="15.75" hidden="false" customHeight="true" outlineLevel="0" collapsed="false">
      <c r="B16" s="7" t="s">
        <v>30</v>
      </c>
      <c r="C16" s="18" t="n">
        <f aca="false">'Historical Data'!C16</f>
        <v>850</v>
      </c>
      <c r="D16" s="23" t="n">
        <f aca="false">AVERAGE(C14:C16)</f>
        <v>890</v>
      </c>
      <c r="E16" s="23" t="n">
        <f aca="false">AVERAGE(C11:C16)</f>
        <v>956.666666666667</v>
      </c>
      <c r="F16" s="23" t="n">
        <f aca="false">AVERAGE(C5:C16)</f>
        <v>929.583333333333</v>
      </c>
      <c r="G16" s="20" t="n">
        <f aca="false">IFERROR((C16-C15)/C15,0)</f>
        <v>-0.0340909090909091</v>
      </c>
      <c r="H16" s="19"/>
      <c r="I16" s="8" t="n">
        <f aca="false">IFERROR(C16/F16,0)</f>
        <v>0.914388166741372</v>
      </c>
      <c r="J16" s="23" t="n">
        <f aca="false">IFERROR(F16*0.92,0)</f>
        <v>855.216666666667</v>
      </c>
      <c r="K16" s="23" t="n">
        <f aca="false">IFERROR(F16*1.08,0)</f>
        <v>1003.95</v>
      </c>
    </row>
    <row r="17" customFormat="false" ht="15.75" hidden="false" customHeight="true" outlineLevel="0" collapsed="false">
      <c r="B17" s="4" t="s">
        <v>32</v>
      </c>
      <c r="C17" s="16" t="n">
        <f aca="false">'Historical Data'!C17</f>
        <v>855</v>
      </c>
      <c r="D17" s="21" t="n">
        <f aca="false">AVERAGE(C15:C17)</f>
        <v>861.666666666667</v>
      </c>
      <c r="E17" s="21" t="n">
        <f aca="false">AVERAGE(C12:C17)</f>
        <v>924.166666666667</v>
      </c>
      <c r="F17" s="21" t="n">
        <f aca="false">AVERAGE(C6:C17)</f>
        <v>932.5</v>
      </c>
      <c r="G17" s="22" t="n">
        <f aca="false">IFERROR((C17-C16)/C16,0)</f>
        <v>0.00588235294117647</v>
      </c>
      <c r="H17" s="22" t="n">
        <f aca="false">IFERROR((C17-C5)/C5,0)</f>
        <v>0.0426829268292683</v>
      </c>
      <c r="I17" s="6" t="n">
        <f aca="false">IFERROR(C17/F17,0)</f>
        <v>0.916890080428954</v>
      </c>
      <c r="J17" s="21" t="n">
        <f aca="false">IFERROR(F17*0.92,0)</f>
        <v>857.9</v>
      </c>
      <c r="K17" s="21" t="n">
        <f aca="false">IFERROR(F17*1.08,0)</f>
        <v>1007.1</v>
      </c>
    </row>
    <row r="18" customFormat="false" ht="15.75" hidden="false" customHeight="true" outlineLevel="0" collapsed="false">
      <c r="B18" s="7" t="s">
        <v>34</v>
      </c>
      <c r="C18" s="18" t="n">
        <f aca="false">'Historical Data'!C18</f>
        <v>870</v>
      </c>
      <c r="D18" s="23" t="n">
        <f aca="false">AVERAGE(C16:C18)</f>
        <v>858.333333333333</v>
      </c>
      <c r="E18" s="23" t="n">
        <f aca="false">AVERAGE(C13:C18)</f>
        <v>897.5</v>
      </c>
      <c r="F18" s="23" t="n">
        <f aca="false">AVERAGE(C7:C18)</f>
        <v>935.416666666667</v>
      </c>
      <c r="G18" s="20" t="n">
        <f aca="false">IFERROR((C18-C17)/C17,0)</f>
        <v>0.0175438596491228</v>
      </c>
      <c r="H18" s="20" t="n">
        <f aca="false">IFERROR((C18-C6)/C6,0)</f>
        <v>0.0419161676646707</v>
      </c>
      <c r="I18" s="8" t="n">
        <f aca="false">IFERROR(C18/F18,0)</f>
        <v>0.930066815144766</v>
      </c>
      <c r="J18" s="23" t="n">
        <f aca="false">IFERROR(F18*0.92,0)</f>
        <v>860.583333333333</v>
      </c>
      <c r="K18" s="23" t="n">
        <f aca="false">IFERROR(F18*1.08,0)</f>
        <v>1010.25</v>
      </c>
    </row>
    <row r="19" customFormat="false" ht="15.75" hidden="false" customHeight="true" outlineLevel="0" collapsed="false">
      <c r="B19" s="4" t="s">
        <v>35</v>
      </c>
      <c r="C19" s="16" t="n">
        <f aca="false">'Historical Data'!C19</f>
        <v>900</v>
      </c>
      <c r="D19" s="21" t="n">
        <f aca="false">AVERAGE(C17:C19)</f>
        <v>875</v>
      </c>
      <c r="E19" s="21" t="n">
        <f aca="false">AVERAGE(C14:C19)</f>
        <v>882.5</v>
      </c>
      <c r="F19" s="21" t="n">
        <f aca="false">AVERAGE(C8:C19)</f>
        <v>937.916666666667</v>
      </c>
      <c r="G19" s="22" t="n">
        <f aca="false">IFERROR((C19-C18)/C18,0)</f>
        <v>0.0344827586206897</v>
      </c>
      <c r="H19" s="22" t="n">
        <f aca="false">IFERROR((C19-C7)/C7,0)</f>
        <v>0.0344827586206897</v>
      </c>
      <c r="I19" s="6" t="n">
        <f aca="false">IFERROR(C19/F19,0)</f>
        <v>0.959573522878721</v>
      </c>
      <c r="J19" s="21" t="n">
        <f aca="false">IFERROR(F19*0.92,0)</f>
        <v>862.883333333333</v>
      </c>
      <c r="K19" s="21" t="n">
        <f aca="false">IFERROR(F19*1.08,0)</f>
        <v>1012.95</v>
      </c>
    </row>
    <row r="20" customFormat="false" ht="15.75" hidden="false" customHeight="true" outlineLevel="0" collapsed="false">
      <c r="B20" s="7" t="s">
        <v>36</v>
      </c>
      <c r="C20" s="18" t="n">
        <f aca="false">'Historical Data'!C20</f>
        <v>945</v>
      </c>
      <c r="D20" s="23" t="n">
        <f aca="false">AVERAGE(C18:C20)</f>
        <v>905</v>
      </c>
      <c r="E20" s="23" t="n">
        <f aca="false">AVERAGE(C15:C20)</f>
        <v>883.333333333333</v>
      </c>
      <c r="F20" s="23" t="n">
        <f aca="false">AVERAGE(C9:C20)</f>
        <v>940.833333333333</v>
      </c>
      <c r="G20" s="20" t="n">
        <f aca="false">IFERROR((C20-C19)/C19,0)</f>
        <v>0.05</v>
      </c>
      <c r="H20" s="20" t="n">
        <f aca="false">IFERROR((C20-C8)/C8,0)</f>
        <v>0.0384615384615385</v>
      </c>
      <c r="I20" s="8" t="n">
        <f aca="false">IFERROR(C20/F20,0)</f>
        <v>1.0044286979628</v>
      </c>
      <c r="J20" s="23" t="n">
        <f aca="false">IFERROR(F20*0.92,0)</f>
        <v>865.566666666667</v>
      </c>
      <c r="K20" s="23" t="n">
        <f aca="false">IFERROR(F20*1.08,0)</f>
        <v>1016.1</v>
      </c>
    </row>
    <row r="21" customFormat="false" ht="15.75" hidden="false" customHeight="true" outlineLevel="0" collapsed="false">
      <c r="B21" s="4" t="s">
        <v>37</v>
      </c>
      <c r="C21" s="16" t="n">
        <f aca="false">'Historical Data'!C21</f>
        <v>985</v>
      </c>
      <c r="D21" s="21" t="n">
        <f aca="false">AVERAGE(C19:C21)</f>
        <v>943.333333333333</v>
      </c>
      <c r="E21" s="21" t="n">
        <f aca="false">AVERAGE(C16:C21)</f>
        <v>900.833333333333</v>
      </c>
      <c r="F21" s="21" t="n">
        <f aca="false">AVERAGE(C10:C21)</f>
        <v>942.916666666667</v>
      </c>
      <c r="G21" s="22" t="n">
        <f aca="false">IFERROR((C21-C20)/C20,0)</f>
        <v>0.0423280423280423</v>
      </c>
      <c r="H21" s="22" t="n">
        <f aca="false">IFERROR((C21-C9)/C9,0)</f>
        <v>0.0260416666666667</v>
      </c>
      <c r="I21" s="6" t="n">
        <f aca="false">IFERROR(C21/F21,0)</f>
        <v>1.04463102076889</v>
      </c>
      <c r="J21" s="21" t="n">
        <f aca="false">IFERROR(F21*0.92,0)</f>
        <v>867.483333333333</v>
      </c>
      <c r="K21" s="21" t="n">
        <f aca="false">IFERROR(F21*1.08,0)</f>
        <v>1018.35</v>
      </c>
    </row>
    <row r="22" customFormat="false" ht="15.75" hidden="false" customHeight="true" outlineLevel="0" collapsed="false">
      <c r="B22" s="7" t="s">
        <v>39</v>
      </c>
      <c r="C22" s="18" t="n">
        <f aca="false">'Historical Data'!C22</f>
        <v>1040</v>
      </c>
      <c r="D22" s="23" t="n">
        <f aca="false">AVERAGE(C20:C22)</f>
        <v>990</v>
      </c>
      <c r="E22" s="23" t="n">
        <f aca="false">AVERAGE(C17:C22)</f>
        <v>932.5</v>
      </c>
      <c r="F22" s="23" t="n">
        <f aca="false">AVERAGE(C11:C22)</f>
        <v>944.583333333333</v>
      </c>
      <c r="G22" s="20" t="n">
        <f aca="false">IFERROR((C22-C21)/C21,0)</f>
        <v>0.0558375634517767</v>
      </c>
      <c r="H22" s="20" t="n">
        <f aca="false">IFERROR((C22-C10)/C10,0)</f>
        <v>0.0196078431372549</v>
      </c>
      <c r="I22" s="8" t="n">
        <f aca="false">IFERROR(C22/F22,0)</f>
        <v>1.10101455668284</v>
      </c>
      <c r="J22" s="23" t="n">
        <f aca="false">IFERROR(F22*0.92,0)</f>
        <v>869.016666666667</v>
      </c>
      <c r="K22" s="23" t="n">
        <f aca="false">IFERROR(F22*1.08,0)</f>
        <v>1020.15</v>
      </c>
    </row>
    <row r="23" customFormat="false" ht="15.75" hidden="false" customHeight="true" outlineLevel="0" collapsed="false">
      <c r="B23" s="4" t="s">
        <v>41</v>
      </c>
      <c r="C23" s="16" t="n">
        <f aca="false">'Historical Data'!C23</f>
        <v>1075</v>
      </c>
      <c r="D23" s="21" t="n">
        <f aca="false">AVERAGE(C21:C23)</f>
        <v>1033.33333333333</v>
      </c>
      <c r="E23" s="21" t="n">
        <f aca="false">AVERAGE(C18:C23)</f>
        <v>969.166666666667</v>
      </c>
      <c r="F23" s="21" t="n">
        <f aca="false">AVERAGE(C12:C23)</f>
        <v>946.666666666667</v>
      </c>
      <c r="G23" s="22" t="n">
        <f aca="false">IFERROR((C23-C22)/C22,0)</f>
        <v>0.0336538461538462</v>
      </c>
      <c r="H23" s="22" t="n">
        <f aca="false">IFERROR((C23-C11)/C11,0)</f>
        <v>0.0238095238095238</v>
      </c>
      <c r="I23" s="6" t="n">
        <f aca="false">IFERROR(C23/F23,0)</f>
        <v>1.13556338028169</v>
      </c>
      <c r="J23" s="21" t="n">
        <f aca="false">IFERROR(F23*0.92,0)</f>
        <v>870.933333333333</v>
      </c>
      <c r="K23" s="21" t="n">
        <f aca="false">IFERROR(F23*1.08,0)</f>
        <v>1022.4</v>
      </c>
    </row>
    <row r="24" customFormat="false" ht="15.75" hidden="false" customHeight="true" outlineLevel="0" collapsed="false">
      <c r="B24" s="7" t="s">
        <v>43</v>
      </c>
      <c r="C24" s="18" t="n">
        <f aca="false">'Historical Data'!C24</f>
        <v>1055</v>
      </c>
      <c r="D24" s="23" t="n">
        <f aca="false">AVERAGE(C22:C24)</f>
        <v>1056.66666666667</v>
      </c>
      <c r="E24" s="23" t="n">
        <f aca="false">AVERAGE(C19:C24)</f>
        <v>1000</v>
      </c>
      <c r="F24" s="23" t="n">
        <f aca="false">AVERAGE(C13:C24)</f>
        <v>948.75</v>
      </c>
      <c r="G24" s="20" t="n">
        <f aca="false">IFERROR((C24-C23)/C23,0)</f>
        <v>-0.0186046511627907</v>
      </c>
      <c r="H24" s="20" t="n">
        <f aca="false">IFERROR((C24-C12)/C12,0)</f>
        <v>0.0242718446601942</v>
      </c>
      <c r="I24" s="8" t="n">
        <f aca="false">IFERROR(C24/F24,0)</f>
        <v>1.11198945981555</v>
      </c>
      <c r="J24" s="23" t="n">
        <f aca="false">IFERROR(F24*0.92,0)</f>
        <v>872.85</v>
      </c>
      <c r="K24" s="23" t="n">
        <f aca="false">IFERROR(F24*1.08,0)</f>
        <v>1024.65</v>
      </c>
    </row>
    <row r="25" customFormat="false" ht="15.75" hidden="false" customHeight="true" outlineLevel="0" collapsed="false">
      <c r="B25" s="4" t="s">
        <v>44</v>
      </c>
      <c r="C25" s="16" t="n">
        <f aca="false">'Historical Data'!C25</f>
        <v>1010</v>
      </c>
      <c r="D25" s="21" t="n">
        <f aca="false">AVERAGE(C23:C25)</f>
        <v>1046.66666666667</v>
      </c>
      <c r="E25" s="21" t="n">
        <f aca="false">AVERAGE(C20:C25)</f>
        <v>1018.33333333333</v>
      </c>
      <c r="F25" s="21" t="n">
        <f aca="false">AVERAGE(C14:C25)</f>
        <v>950.416666666667</v>
      </c>
      <c r="G25" s="22" t="n">
        <f aca="false">IFERROR((C25-C24)/C24,0)</f>
        <v>-0.042654028436019</v>
      </c>
      <c r="H25" s="22" t="n">
        <f aca="false">IFERROR((C25-C13)/C13,0)</f>
        <v>0.0202020202020202</v>
      </c>
      <c r="I25" s="6" t="n">
        <f aca="false">IFERROR(C25/F25,0)</f>
        <v>1.0626918018413</v>
      </c>
      <c r="J25" s="21" t="n">
        <f aca="false">IFERROR(F25*0.92,0)</f>
        <v>874.383333333333</v>
      </c>
      <c r="K25" s="21" t="n">
        <f aca="false">IFERROR(F25*1.08,0)</f>
        <v>1026.45</v>
      </c>
    </row>
    <row r="26" customFormat="false" ht="15.75" hidden="false" customHeight="true" outlineLevel="0" collapsed="false">
      <c r="B26" s="7" t="s">
        <v>45</v>
      </c>
      <c r="C26" s="18" t="n">
        <f aca="false">'Historical Data'!C26</f>
        <v>958</v>
      </c>
      <c r="D26" s="23" t="n">
        <f aca="false">AVERAGE(C24:C26)</f>
        <v>1007.66666666667</v>
      </c>
      <c r="E26" s="23" t="n">
        <f aca="false">AVERAGE(C21:C26)</f>
        <v>1020.5</v>
      </c>
      <c r="F26" s="23" t="n">
        <f aca="false">AVERAGE(C15:C26)</f>
        <v>951.916666666667</v>
      </c>
      <c r="G26" s="20" t="n">
        <f aca="false">IFERROR((C26-C25)/C25,0)</f>
        <v>-0.0514851485148515</v>
      </c>
      <c r="H26" s="20" t="n">
        <f aca="false">IFERROR((C26-C14)/C14,0)</f>
        <v>0.0191489361702128</v>
      </c>
      <c r="I26" s="8" t="n">
        <f aca="false">IFERROR(C26/F26,0)</f>
        <v>1.00639061542502</v>
      </c>
      <c r="J26" s="23" t="n">
        <f aca="false">IFERROR(F26*0.92,0)</f>
        <v>875.763333333333</v>
      </c>
      <c r="K26" s="23" t="n">
        <f aca="false">IFERROR(F26*1.08,0)</f>
        <v>1028.07</v>
      </c>
    </row>
    <row r="27" customFormat="false" ht="15.75" hidden="false" customHeight="true" outlineLevel="0" collapsed="false">
      <c r="B27" s="4" t="s">
        <v>46</v>
      </c>
      <c r="C27" s="16" t="n">
        <f aca="false">'Historical Data'!C27</f>
        <v>905</v>
      </c>
      <c r="D27" s="21" t="n">
        <f aca="false">AVERAGE(C25:C27)</f>
        <v>957.666666666667</v>
      </c>
      <c r="E27" s="21" t="n">
        <f aca="false">AVERAGE(C22:C27)</f>
        <v>1007.16666666667</v>
      </c>
      <c r="F27" s="21" t="n">
        <f aca="false">AVERAGE(C16:C27)</f>
        <v>954</v>
      </c>
      <c r="G27" s="22" t="n">
        <f aca="false">IFERROR((C27-C26)/C26,0)</f>
        <v>-0.0553235908141962</v>
      </c>
      <c r="H27" s="22" t="n">
        <f aca="false">IFERROR((C27-C15)/C15,0)</f>
        <v>0.0284090909090909</v>
      </c>
      <c r="I27" s="6" t="n">
        <f aca="false">IFERROR(C27/F27,0)</f>
        <v>0.948637316561845</v>
      </c>
      <c r="J27" s="21" t="n">
        <f aca="false">IFERROR(F27*0.92,0)</f>
        <v>877.68</v>
      </c>
      <c r="K27" s="21" t="n">
        <f aca="false">IFERROR(F27*1.08,0)</f>
        <v>1030.32</v>
      </c>
    </row>
    <row r="28" customFormat="false" ht="15.75" hidden="false" customHeight="true" outlineLevel="0" collapsed="false">
      <c r="B28" s="7" t="s">
        <v>47</v>
      </c>
      <c r="C28" s="18" t="n">
        <f aca="false">'Historical Data'!C28</f>
        <v>875</v>
      </c>
      <c r="D28" s="23" t="n">
        <f aca="false">AVERAGE(C26:C28)</f>
        <v>912.666666666667</v>
      </c>
      <c r="E28" s="23" t="n">
        <f aca="false">AVERAGE(C23:C28)</f>
        <v>979.666666666667</v>
      </c>
      <c r="F28" s="23" t="n">
        <f aca="false">AVERAGE(C17:C28)</f>
        <v>956.083333333333</v>
      </c>
      <c r="G28" s="20" t="n">
        <f aca="false">IFERROR((C28-C27)/C27,0)</f>
        <v>-0.0331491712707182</v>
      </c>
      <c r="H28" s="20" t="n">
        <f aca="false">IFERROR((C28-C16)/C16,0)</f>
        <v>0.0294117647058824</v>
      </c>
      <c r="I28" s="8" t="n">
        <f aca="false">IFERROR(C28/F28,0)</f>
        <v>0.915192190359976</v>
      </c>
      <c r="J28" s="23" t="n">
        <f aca="false">IFERROR(F28*0.92,0)</f>
        <v>879.596666666667</v>
      </c>
      <c r="K28" s="23" t="n">
        <f aca="false">IFERROR(F28*1.08,0)</f>
        <v>1032.57</v>
      </c>
    </row>
    <row r="29" customFormat="false" ht="15.75" hidden="false" customHeight="true" outlineLevel="0" collapsed="false">
      <c r="B29" s="4" t="s">
        <v>48</v>
      </c>
      <c r="C29" s="16" t="n">
        <f aca="false">'Historical Data'!C29</f>
        <v>888</v>
      </c>
      <c r="D29" s="21" t="n">
        <f aca="false">AVERAGE(C27:C29)</f>
        <v>889.333333333333</v>
      </c>
      <c r="E29" s="21" t="n">
        <f aca="false">AVERAGE(C24:C29)</f>
        <v>948.5</v>
      </c>
      <c r="F29" s="21" t="n">
        <f aca="false">AVERAGE(C18:C29)</f>
        <v>958.833333333333</v>
      </c>
      <c r="G29" s="22" t="n">
        <f aca="false">IFERROR((C29-C28)/C28,0)</f>
        <v>0.0148571428571429</v>
      </c>
      <c r="H29" s="22" t="n">
        <f aca="false">IFERROR((C29-C17)/C17,0)</f>
        <v>0.0385964912280702</v>
      </c>
      <c r="I29" s="6" t="n">
        <f aca="false">IFERROR(C29/F29,0)</f>
        <v>0.926125499739266</v>
      </c>
      <c r="J29" s="21" t="n">
        <f aca="false">IFERROR(F29*0.92,0)</f>
        <v>882.126666666667</v>
      </c>
      <c r="K29" s="21" t="n">
        <f aca="false">IFERROR(F29*1.08,0)</f>
        <v>1035.54</v>
      </c>
    </row>
    <row r="30" customFormat="false" ht="15.75" hidden="false" customHeight="true" outlineLevel="0" collapsed="false">
      <c r="B30" s="7" t="s">
        <v>49</v>
      </c>
      <c r="C30" s="18" t="n">
        <f aca="false">'Historical Data'!C30</f>
        <v>902</v>
      </c>
      <c r="D30" s="23" t="n">
        <f aca="false">AVERAGE(C28:C30)</f>
        <v>888.333333333333</v>
      </c>
      <c r="E30" s="23" t="n">
        <f aca="false">AVERAGE(C25:C30)</f>
        <v>923</v>
      </c>
      <c r="F30" s="23" t="n">
        <f aca="false">AVERAGE(C19:C30)</f>
        <v>961.5</v>
      </c>
      <c r="G30" s="20" t="n">
        <f aca="false">IFERROR((C30-C29)/C29,0)</f>
        <v>0.0157657657657658</v>
      </c>
      <c r="H30" s="20" t="n">
        <f aca="false">IFERROR((C30-C18)/C18,0)</f>
        <v>0.0367816091954023</v>
      </c>
      <c r="I30" s="8" t="n">
        <f aca="false">IFERROR(C30/F30,0)</f>
        <v>0.938117524700988</v>
      </c>
      <c r="J30" s="23" t="n">
        <f aca="false">IFERROR(F30*0.92,0)</f>
        <v>884.58</v>
      </c>
      <c r="K30" s="23" t="n">
        <f aca="false">IFERROR(F30*1.08,0)</f>
        <v>1038.42</v>
      </c>
    </row>
    <row r="31" customFormat="false" ht="15.75" hidden="false" customHeight="true" outlineLevel="0" collapsed="false">
      <c r="B31" s="4" t="s">
        <v>50</v>
      </c>
      <c r="C31" s="16" t="n">
        <f aca="false">'Historical Data'!C31</f>
        <v>932</v>
      </c>
      <c r="D31" s="21" t="n">
        <f aca="false">AVERAGE(C29:C31)</f>
        <v>907.333333333333</v>
      </c>
      <c r="E31" s="21" t="n">
        <f aca="false">AVERAGE(C26:C31)</f>
        <v>910</v>
      </c>
      <c r="F31" s="21" t="n">
        <f aca="false">AVERAGE(C20:C31)</f>
        <v>964.166666666667</v>
      </c>
      <c r="G31" s="22" t="n">
        <f aca="false">IFERROR((C31-C30)/C30,0)</f>
        <v>0.0332594235033259</v>
      </c>
      <c r="H31" s="22" t="n">
        <f aca="false">IFERROR((C31-C19)/C19,0)</f>
        <v>0.0355555555555556</v>
      </c>
      <c r="I31" s="6" t="n">
        <f aca="false">IFERROR(C31/F31,0)</f>
        <v>0.966637856525497</v>
      </c>
      <c r="J31" s="21" t="n">
        <f aca="false">IFERROR(F31*0.92,0)</f>
        <v>887.033333333333</v>
      </c>
      <c r="K31" s="21" t="n">
        <f aca="false">IFERROR(F31*1.08,0)</f>
        <v>1041.3</v>
      </c>
    </row>
    <row r="32" customFormat="false" ht="15.75" hidden="false" customHeight="true" outlineLevel="0" collapsed="false">
      <c r="B32" s="7" t="s">
        <v>51</v>
      </c>
      <c r="C32" s="18" t="n">
        <f aca="false">'Historical Data'!C32</f>
        <v>968</v>
      </c>
      <c r="D32" s="23" t="n">
        <f aca="false">AVERAGE(C30:C32)</f>
        <v>934</v>
      </c>
      <c r="E32" s="23" t="n">
        <f aca="false">AVERAGE(C27:C32)</f>
        <v>911.666666666667</v>
      </c>
      <c r="F32" s="23" t="n">
        <f aca="false">AVERAGE(C21:C32)</f>
        <v>966.083333333333</v>
      </c>
      <c r="G32" s="20" t="n">
        <f aca="false">IFERROR((C32-C31)/C31,0)</f>
        <v>0.0386266094420601</v>
      </c>
      <c r="H32" s="20" t="n">
        <f aca="false">IFERROR((C32-C20)/C20,0)</f>
        <v>0.0243386243386243</v>
      </c>
      <c r="I32" s="8" t="n">
        <f aca="false">IFERROR(C32/F32,0)</f>
        <v>1.00198395583542</v>
      </c>
      <c r="J32" s="23" t="n">
        <f aca="false">IFERROR(F32*0.92,0)</f>
        <v>888.796666666667</v>
      </c>
      <c r="K32" s="23" t="n">
        <f aca="false">IFERROR(F32*1.08,0)</f>
        <v>1043.37</v>
      </c>
    </row>
    <row r="33" customFormat="false" ht="15.75" hidden="false" customHeight="true" outlineLevel="0" collapsed="false">
      <c r="B33" s="4" t="s">
        <v>52</v>
      </c>
      <c r="C33" s="16" t="n">
        <f aca="false">'Historical Data'!C33</f>
        <v>1008</v>
      </c>
      <c r="D33" s="21" t="n">
        <f aca="false">AVERAGE(C31:C33)</f>
        <v>969.333333333333</v>
      </c>
      <c r="E33" s="21" t="n">
        <f aca="false">AVERAGE(C28:C33)</f>
        <v>928.833333333333</v>
      </c>
      <c r="F33" s="21" t="n">
        <f aca="false">AVERAGE(C22:C33)</f>
        <v>968</v>
      </c>
      <c r="G33" s="22" t="n">
        <f aca="false">IFERROR((C33-C32)/C32,0)</f>
        <v>0.0413223140495868</v>
      </c>
      <c r="H33" s="22" t="n">
        <f aca="false">IFERROR((C33-C21)/C21,0)</f>
        <v>0.0233502538071066</v>
      </c>
      <c r="I33" s="6" t="n">
        <f aca="false">IFERROR(C33/F33,0)</f>
        <v>1.04132231404959</v>
      </c>
      <c r="J33" s="21" t="n">
        <f aca="false">IFERROR(F33*0.92,0)</f>
        <v>890.56</v>
      </c>
      <c r="K33" s="21" t="n">
        <f aca="false">IFERROR(F33*1.08,0)</f>
        <v>1045.44</v>
      </c>
    </row>
    <row r="34" customFormat="false" ht="15.75" hidden="false" customHeight="true" outlineLevel="0" collapsed="false">
      <c r="B34" s="7" t="s">
        <v>54</v>
      </c>
      <c r="C34" s="18" t="n">
        <f aca="false">'Historical Data'!C34</f>
        <v>1062</v>
      </c>
      <c r="D34" s="23" t="n">
        <f aca="false">AVERAGE(C32:C34)</f>
        <v>1012.66666666667</v>
      </c>
      <c r="E34" s="23" t="n">
        <f aca="false">AVERAGE(C29:C34)</f>
        <v>960</v>
      </c>
      <c r="F34" s="23" t="n">
        <f aca="false">AVERAGE(C23:C34)</f>
        <v>969.833333333333</v>
      </c>
      <c r="G34" s="20" t="n">
        <f aca="false">IFERROR((C34-C33)/C33,0)</f>
        <v>0.0535714285714286</v>
      </c>
      <c r="H34" s="20" t="n">
        <f aca="false">IFERROR((C34-C22)/C22,0)</f>
        <v>0.0211538461538462</v>
      </c>
      <c r="I34" s="8" t="n">
        <f aca="false">IFERROR(C34/F34,0)</f>
        <v>1.09503351091253</v>
      </c>
      <c r="J34" s="23" t="n">
        <f aca="false">IFERROR(F34*0.92,0)</f>
        <v>892.246666666667</v>
      </c>
      <c r="K34" s="23" t="n">
        <f aca="false">IFERROR(F34*1.08,0)</f>
        <v>1047.42</v>
      </c>
    </row>
    <row r="35" customFormat="false" ht="15.75" hidden="false" customHeight="true" outlineLevel="0" collapsed="false">
      <c r="B35" s="4" t="s">
        <v>56</v>
      </c>
      <c r="C35" s="16" t="n">
        <f aca="false">'Historical Data'!C35</f>
        <v>1088</v>
      </c>
      <c r="D35" s="21" t="n">
        <f aca="false">AVERAGE(C33:C35)</f>
        <v>1052.66666666667</v>
      </c>
      <c r="E35" s="21" t="n">
        <f aca="false">AVERAGE(C30:C35)</f>
        <v>993.333333333333</v>
      </c>
      <c r="F35" s="21" t="n">
        <f aca="false">AVERAGE(C24:C35)</f>
        <v>970.916666666667</v>
      </c>
      <c r="G35" s="22" t="n">
        <f aca="false">IFERROR((C35-C34)/C34,0)</f>
        <v>0.0244821092278719</v>
      </c>
      <c r="H35" s="22" t="n">
        <f aca="false">IFERROR((C35-C23)/C23,0)</f>
        <v>0.012093023255814</v>
      </c>
      <c r="I35" s="6" t="n">
        <f aca="false">IFERROR(C35/F35,0)</f>
        <v>1.1205905072526</v>
      </c>
      <c r="J35" s="21" t="n">
        <f aca="false">IFERROR(F35*0.92,0)</f>
        <v>893.243333333333</v>
      </c>
      <c r="K35" s="21" t="n">
        <f aca="false">IFERROR(F35*1.08,0)</f>
        <v>1048.59</v>
      </c>
    </row>
    <row r="36" customFormat="false" ht="15.75" hidden="false" customHeight="true" outlineLevel="0" collapsed="false">
      <c r="B36" s="7" t="s">
        <v>58</v>
      </c>
      <c r="C36" s="18" t="n">
        <f aca="false">'Historical Data'!C36</f>
        <v>1068</v>
      </c>
      <c r="D36" s="23" t="n">
        <f aca="false">AVERAGE(C34:C36)</f>
        <v>1072.66666666667</v>
      </c>
      <c r="E36" s="23" t="n">
        <f aca="false">AVERAGE(C31:C36)</f>
        <v>1021</v>
      </c>
      <c r="F36" s="23" t="n">
        <f aca="false">AVERAGE(C25:C36)</f>
        <v>972</v>
      </c>
      <c r="G36" s="20" t="n">
        <f aca="false">IFERROR((C36-C35)/C35,0)</f>
        <v>-0.0183823529411765</v>
      </c>
      <c r="H36" s="20" t="n">
        <f aca="false">IFERROR((C36-C24)/C24,0)</f>
        <v>0.0123222748815166</v>
      </c>
      <c r="I36" s="8" t="n">
        <f aca="false">IFERROR(C36/F36,0)</f>
        <v>1.09876543209877</v>
      </c>
      <c r="J36" s="23" t="n">
        <f aca="false">IFERROR(F36*0.92,0)</f>
        <v>894.24</v>
      </c>
      <c r="K36" s="23" t="n">
        <f aca="false">IFERROR(F36*1.08,0)</f>
        <v>1049.76</v>
      </c>
    </row>
    <row r="37" customFormat="false" ht="15.75" hidden="false" customHeight="true" outlineLevel="0" collapsed="false">
      <c r="B37" s="4" t="s">
        <v>59</v>
      </c>
      <c r="C37" s="16" t="n">
        <f aca="false">'Historical Data'!C37</f>
        <v>1022</v>
      </c>
      <c r="D37" s="21" t="n">
        <f aca="false">AVERAGE(C35:C37)</f>
        <v>1059.33333333333</v>
      </c>
      <c r="E37" s="21" t="n">
        <f aca="false">AVERAGE(C32:C37)</f>
        <v>1036</v>
      </c>
      <c r="F37" s="21" t="n">
        <f aca="false">AVERAGE(C26:C37)</f>
        <v>973</v>
      </c>
      <c r="G37" s="22" t="n">
        <f aca="false">IFERROR((C37-C36)/C36,0)</f>
        <v>-0.0430711610486891</v>
      </c>
      <c r="H37" s="22" t="n">
        <f aca="false">IFERROR((C37-C25)/C25,0)</f>
        <v>0.0118811881188119</v>
      </c>
      <c r="I37" s="6" t="n">
        <f aca="false">IFERROR(C37/F37,0)</f>
        <v>1.05035971223022</v>
      </c>
      <c r="J37" s="21" t="n">
        <f aca="false">IFERROR(F37*0.92,0)</f>
        <v>895.16</v>
      </c>
      <c r="K37" s="21" t="n">
        <f aca="false">IFERROR(F37*1.08,0)</f>
        <v>1050.84</v>
      </c>
    </row>
    <row r="38" customFormat="false" ht="15.75" hidden="false" customHeight="true" outlineLevel="0" collapsed="false">
      <c r="B38" s="7" t="s">
        <v>60</v>
      </c>
      <c r="C38" s="18" t="n">
        <f aca="false">'Historical Data'!C38</f>
        <v>972</v>
      </c>
      <c r="D38" s="23" t="n">
        <f aca="false">AVERAGE(C36:C38)</f>
        <v>1020.66666666667</v>
      </c>
      <c r="E38" s="23" t="n">
        <f aca="false">AVERAGE(C33:C38)</f>
        <v>1036.66666666667</v>
      </c>
      <c r="F38" s="23" t="n">
        <f aca="false">AVERAGE(C27:C38)</f>
        <v>974.166666666667</v>
      </c>
      <c r="G38" s="20" t="n">
        <f aca="false">IFERROR((C38-C37)/C37,0)</f>
        <v>-0.0489236790606654</v>
      </c>
      <c r="H38" s="20" t="n">
        <f aca="false">IFERROR((C38-C26)/C26,0)</f>
        <v>0.0146137787056367</v>
      </c>
      <c r="I38" s="8" t="n">
        <f aca="false">IFERROR(C38/F38,0)</f>
        <v>0.997775876817793</v>
      </c>
      <c r="J38" s="23" t="n">
        <f aca="false">IFERROR(F38*0.92,0)</f>
        <v>896.233333333333</v>
      </c>
      <c r="K38" s="23" t="n">
        <f aca="false">IFERROR(F38*1.08,0)</f>
        <v>1052.1</v>
      </c>
    </row>
    <row r="39" customFormat="false" ht="15.75" hidden="false" customHeight="true" outlineLevel="0" collapsed="false">
      <c r="B39" s="4" t="s">
        <v>61</v>
      </c>
      <c r="C39" s="16" t="n">
        <f aca="false">'Historical Data'!C39</f>
        <v>918</v>
      </c>
      <c r="D39" s="21" t="n">
        <f aca="false">AVERAGE(C37:C39)</f>
        <v>970.666666666667</v>
      </c>
      <c r="E39" s="21" t="n">
        <f aca="false">AVERAGE(C34:C39)</f>
        <v>1021.66666666667</v>
      </c>
      <c r="F39" s="21" t="n">
        <f aca="false">AVERAGE(C28:C39)</f>
        <v>975.25</v>
      </c>
      <c r="G39" s="22" t="n">
        <f aca="false">IFERROR((C39-C38)/C38,0)</f>
        <v>-0.0555555555555556</v>
      </c>
      <c r="H39" s="22" t="n">
        <f aca="false">IFERROR((C39-C27)/C27,0)</f>
        <v>0.0143646408839779</v>
      </c>
      <c r="I39" s="6" t="n">
        <f aca="false">IFERROR(C39/F39,0)</f>
        <v>0.941297103306844</v>
      </c>
      <c r="J39" s="21" t="n">
        <f aca="false">IFERROR(F39*0.92,0)</f>
        <v>897.23</v>
      </c>
      <c r="K39" s="21" t="n">
        <f aca="false">IFERROR(F39*1.08,0)</f>
        <v>1053.27</v>
      </c>
    </row>
    <row r="40" customFormat="false" ht="15.75" hidden="false" customHeight="true" outlineLevel="0" collapsed="false">
      <c r="B40" s="7" t="s">
        <v>62</v>
      </c>
      <c r="C40" s="18" t="n">
        <f aca="false">'Historical Data'!C40</f>
        <v>888</v>
      </c>
      <c r="D40" s="23" t="n">
        <f aca="false">AVERAGE(C38:C40)</f>
        <v>926</v>
      </c>
      <c r="E40" s="23" t="n">
        <f aca="false">AVERAGE(C35:C40)</f>
        <v>992.666666666667</v>
      </c>
      <c r="F40" s="23" t="n">
        <f aca="false">AVERAGE(C29:C40)</f>
        <v>976.333333333333</v>
      </c>
      <c r="G40" s="20" t="n">
        <f aca="false">IFERROR((C40-C39)/C39,0)</f>
        <v>-0.0326797385620915</v>
      </c>
      <c r="H40" s="20" t="n">
        <f aca="false">IFERROR((C40-C28)/C28,0)</f>
        <v>0.0148571428571429</v>
      </c>
      <c r="I40" s="8" t="n">
        <f aca="false">IFERROR(C40/F40,0)</f>
        <v>0.909525435302151</v>
      </c>
      <c r="J40" s="23" t="n">
        <f aca="false">IFERROR(F40*0.92,0)</f>
        <v>898.226666666667</v>
      </c>
      <c r="K40" s="23" t="n">
        <f aca="false">IFERROR(F40*1.08,0)</f>
        <v>1054.44</v>
      </c>
    </row>
    <row r="41" customFormat="false" ht="7.5" hidden="false" customHeight="true" outlineLevel="0" collapsed="false"/>
    <row r="42" customFormat="false" ht="19.5" hidden="false" customHeight="true" outlineLevel="0" collapsed="false">
      <c r="B42" s="9" t="s">
        <v>84</v>
      </c>
      <c r="C42" s="9"/>
      <c r="D42" s="9"/>
      <c r="E42" s="9"/>
      <c r="F42" s="9"/>
      <c r="G42" s="9"/>
      <c r="H42" s="9"/>
      <c r="I42" s="9"/>
    </row>
    <row r="43" customFormat="false" ht="15" hidden="false" customHeight="false" outlineLevel="0" collapsed="false">
      <c r="B43" s="24" t="s">
        <v>85</v>
      </c>
      <c r="C43" s="24" t="s">
        <v>86</v>
      </c>
      <c r="D43" s="24" t="s">
        <v>87</v>
      </c>
      <c r="E43" s="24" t="s">
        <v>88</v>
      </c>
      <c r="F43" s="24" t="s">
        <v>89</v>
      </c>
      <c r="G43" s="24" t="s">
        <v>90</v>
      </c>
      <c r="H43" s="24" t="s">
        <v>91</v>
      </c>
      <c r="I43" s="24" t="s">
        <v>92</v>
      </c>
      <c r="J43" s="24" t="s">
        <v>93</v>
      </c>
      <c r="K43" s="24" t="s">
        <v>94</v>
      </c>
      <c r="L43" s="24" t="s">
        <v>95</v>
      </c>
      <c r="M43" s="24" t="s">
        <v>96</v>
      </c>
      <c r="N43" s="24" t="s">
        <v>97</v>
      </c>
    </row>
    <row r="44" customFormat="false" ht="18" hidden="false" customHeight="true" outlineLevel="0" collapsed="false">
      <c r="C44" s="25" t="n">
        <f aca="false">IFERROR(AVERAGE(C5,C17,C29)/AVERAGE(C5:C40),0)</f>
        <v>0.895527603074773</v>
      </c>
      <c r="D44" s="26" t="n">
        <f aca="false">IFERROR(AVERAGE(C6,C18,C30)/AVERAGE(C5:C40),0)</f>
        <v>0.910901467505241</v>
      </c>
      <c r="E44" s="25" t="n">
        <f aca="false">IFERROR(AVERAGE(C7,C19,C31)/AVERAGE(C5:C40),0)</f>
        <v>0.944095038434661</v>
      </c>
      <c r="F44" s="26" t="n">
        <f aca="false">IFERROR(AVERAGE(C8,C20,C32)/AVERAGE(C5:C40),0)</f>
        <v>0.986373165618449</v>
      </c>
      <c r="G44" s="25" t="n">
        <f aca="false">IFERROR(AVERAGE(C9,C21,C33)/AVERAGE(C5:C40),0)</f>
        <v>1.03179594689029</v>
      </c>
      <c r="H44" s="26" t="n">
        <f aca="false">IFERROR(AVERAGE(C10,C22,C34)/AVERAGE(C5:C40),0)</f>
        <v>1.09084556254368</v>
      </c>
      <c r="I44" s="25" t="n">
        <f aca="false">IFERROR(AVERAGE(C11,C23,C35)/AVERAGE(C5:C40),0)</f>
        <v>1.12264150943396</v>
      </c>
      <c r="J44" s="26" t="n">
        <f aca="false">IFERROR(AVERAGE(C12,C24,C36)/AVERAGE(C5:C40),0)</f>
        <v>1.10167714884696</v>
      </c>
      <c r="K44" s="25" t="n">
        <f aca="false">IFERROR(AVERAGE(C13,C25,C37)/AVERAGE(C5:C40),0)</f>
        <v>1.05590496156534</v>
      </c>
      <c r="L44" s="26" t="n">
        <f aca="false">IFERROR(AVERAGE(C14,C26,C38)/AVERAGE(C5:C40),0)</f>
        <v>1.00279524807827</v>
      </c>
      <c r="M44" s="25" t="n">
        <f aca="false">IFERROR(AVERAGE(C15,C27,C39)/AVERAGE(C5:C40),0)</f>
        <v>0.944444444444444</v>
      </c>
      <c r="N44" s="26" t="n">
        <f aca="false">IFERROR(AVERAGE(C16,C28,C40)/AVERAGE(C5:C40),0)</f>
        <v>0.912997903563941</v>
      </c>
    </row>
  </sheetData>
  <mergeCells count="3">
    <mergeCell ref="B1:I1"/>
    <mergeCell ref="B2:I2"/>
    <mergeCell ref="B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4"/>
    <col collapsed="false" customWidth="true" hidden="false" outlineLevel="0" max="10" min="10" style="0" width="22"/>
  </cols>
  <sheetData>
    <row r="1" customFormat="false" ht="27.75" hidden="false" customHeight="true" outlineLevel="0" collapsed="false">
      <c r="B1" s="1" t="s">
        <v>98</v>
      </c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B2" s="2" t="s">
        <v>99</v>
      </c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B4" s="9" t="s">
        <v>100</v>
      </c>
      <c r="C4" s="9"/>
      <c r="D4" s="9"/>
      <c r="E4" s="9"/>
      <c r="F4" s="9"/>
      <c r="G4" s="9"/>
      <c r="H4" s="9"/>
      <c r="I4" s="9"/>
    </row>
    <row r="5" customFormat="false" ht="18" hidden="false" customHeight="true" outlineLevel="0" collapsed="false">
      <c r="B5" s="12" t="s">
        <v>101</v>
      </c>
      <c r="C5" s="27" t="n">
        <v>888</v>
      </c>
      <c r="I5" s="28" t="n">
        <f aca="false">'Historical Data'!C40</f>
        <v>888</v>
      </c>
    </row>
    <row r="6" customFormat="false" ht="18" hidden="false" customHeight="true" outlineLevel="0" collapsed="false">
      <c r="B6" s="10" t="s">
        <v>102</v>
      </c>
      <c r="C6" s="29" t="n">
        <v>0.04</v>
      </c>
      <c r="I6" s="30" t="s">
        <v>103</v>
      </c>
    </row>
    <row r="7" customFormat="false" ht="18" hidden="false" customHeight="true" outlineLevel="0" collapsed="false">
      <c r="B7" s="12" t="s">
        <v>104</v>
      </c>
      <c r="C7" s="29" t="n">
        <v>0.6</v>
      </c>
      <c r="I7" s="31" t="s">
        <v>105</v>
      </c>
    </row>
    <row r="8" customFormat="false" ht="18" hidden="false" customHeight="true" outlineLevel="0" collapsed="false">
      <c r="B8" s="10" t="s">
        <v>106</v>
      </c>
      <c r="C8" s="29" t="n">
        <v>0.035</v>
      </c>
      <c r="I8" s="30" t="s">
        <v>107</v>
      </c>
    </row>
    <row r="9" customFormat="false" ht="18" hidden="false" customHeight="true" outlineLevel="0" collapsed="false">
      <c r="B9" s="12" t="s">
        <v>108</v>
      </c>
      <c r="C9" s="29" t="n">
        <v>0.15</v>
      </c>
      <c r="I9" s="31" t="s">
        <v>109</v>
      </c>
    </row>
    <row r="10" customFormat="false" ht="18" hidden="false" customHeight="true" outlineLevel="0" collapsed="false">
      <c r="B10" s="10" t="s">
        <v>110</v>
      </c>
      <c r="C10" s="29" t="n">
        <v>0.02</v>
      </c>
      <c r="I10" s="30" t="s">
        <v>111</v>
      </c>
    </row>
    <row r="11" customFormat="false" ht="18" hidden="false" customHeight="true" outlineLevel="0" collapsed="false">
      <c r="B11" s="12" t="s">
        <v>112</v>
      </c>
      <c r="C11" s="29" t="n">
        <v>0.08</v>
      </c>
      <c r="I11" s="31" t="s">
        <v>113</v>
      </c>
    </row>
    <row r="12" customFormat="false" ht="18" hidden="false" customHeight="true" outlineLevel="0" collapsed="false">
      <c r="B12" s="10" t="s">
        <v>114</v>
      </c>
      <c r="C12" s="29" t="n">
        <v>-0.07</v>
      </c>
      <c r="I12" s="30" t="s">
        <v>115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9" t="s">
        <v>116</v>
      </c>
      <c r="C14" s="9"/>
      <c r="D14" s="9"/>
      <c r="E14" s="9"/>
      <c r="F14" s="9"/>
      <c r="G14" s="9"/>
      <c r="H14" s="9"/>
      <c r="I14" s="9"/>
    </row>
    <row r="15" customFormat="false" ht="36" hidden="false" customHeight="true" outlineLevel="0" collapsed="false">
      <c r="B15" s="3" t="s">
        <v>74</v>
      </c>
      <c r="C15" s="3" t="s">
        <v>81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121</v>
      </c>
      <c r="I15" s="3" t="s">
        <v>122</v>
      </c>
      <c r="J15" s="3" t="s">
        <v>8</v>
      </c>
    </row>
    <row r="16" customFormat="false" ht="18" hidden="false" customHeight="true" outlineLevel="0" collapsed="false">
      <c r="B16" s="32" t="s">
        <v>123</v>
      </c>
      <c r="C16" s="33" t="n">
        <f aca="false">'Price Analysis'!C44</f>
        <v>0.895527603074773</v>
      </c>
      <c r="D16" s="11" t="n">
        <f aca="false">$C$5*(1+$C$6)^(1/12)</f>
        <v>890.907080926593</v>
      </c>
      <c r="E16" s="11" t="n">
        <f aca="false">D16*C16</f>
        <v>797.831882744534</v>
      </c>
      <c r="F16" s="11" t="n">
        <f aca="false">E16*(1+($C$8*$C$7)+($C$9*$C$10))</f>
        <v>816.979847930403</v>
      </c>
      <c r="G16" s="11" t="n">
        <f aca="false">F16*(1+$C$11)</f>
        <v>882.338235764835</v>
      </c>
      <c r="H16" s="11" t="n">
        <f aca="false">F16*(1+$C$12)</f>
        <v>759.791258575275</v>
      </c>
      <c r="I16" s="11" t="n">
        <f aca="false">G16-H16</f>
        <v>122.546977189561</v>
      </c>
      <c r="J16" s="4" t="s">
        <v>124</v>
      </c>
    </row>
    <row r="17" customFormat="false" ht="18" hidden="false" customHeight="true" outlineLevel="0" collapsed="false">
      <c r="B17" s="34" t="s">
        <v>125</v>
      </c>
      <c r="C17" s="35" t="n">
        <f aca="false">'Price Analysis'!D44</f>
        <v>0.910901467505241</v>
      </c>
      <c r="D17" s="13" t="n">
        <f aca="false">$C$5*(1+$C$6)^(2/12)</f>
        <v>893.823678879665</v>
      </c>
      <c r="E17" s="13" t="n">
        <f aca="false">D17*C17</f>
        <v>814.18530078242</v>
      </c>
      <c r="F17" s="13" t="n">
        <f aca="false">E17*(1+($C$8*$C$7)+($C$9*$C$10))</f>
        <v>833.725748001198</v>
      </c>
      <c r="G17" s="13" t="n">
        <f aca="false">F17*(1+$C$11)</f>
        <v>900.423807841294</v>
      </c>
      <c r="H17" s="13" t="n">
        <f aca="false">F17*(1+$C$12)</f>
        <v>775.364945641114</v>
      </c>
      <c r="I17" s="13" t="n">
        <f aca="false">G17-H17</f>
        <v>125.05886220018</v>
      </c>
      <c r="J17" s="7" t="s">
        <v>126</v>
      </c>
    </row>
    <row r="18" customFormat="false" ht="18" hidden="false" customHeight="true" outlineLevel="0" collapsed="false">
      <c r="B18" s="32" t="s">
        <v>127</v>
      </c>
      <c r="C18" s="33" t="n">
        <f aca="false">'Price Analysis'!E44</f>
        <v>0.944095038434661</v>
      </c>
      <c r="D18" s="11" t="n">
        <f aca="false">$C$5*(1+$C$6)^(3/12)</f>
        <v>896.749825015484</v>
      </c>
      <c r="E18" s="11" t="n">
        <f aca="false">D18*C18</f>
        <v>846.617060514269</v>
      </c>
      <c r="F18" s="11" t="n">
        <f aca="false">E18*(1+($C$8*$C$7)+($C$9*$C$10))</f>
        <v>866.935869966612</v>
      </c>
      <c r="G18" s="11" t="n">
        <f aca="false">F18*(1+$C$11)</f>
        <v>936.290739563941</v>
      </c>
      <c r="H18" s="11" t="n">
        <f aca="false">F18*(1+$C$12)</f>
        <v>806.250359068949</v>
      </c>
      <c r="I18" s="11" t="n">
        <f aca="false">G18-H18</f>
        <v>130.040380494992</v>
      </c>
      <c r="J18" s="4" t="s">
        <v>128</v>
      </c>
    </row>
    <row r="19" customFormat="false" ht="18" hidden="false" customHeight="true" outlineLevel="0" collapsed="false">
      <c r="B19" s="34" t="s">
        <v>129</v>
      </c>
      <c r="C19" s="35" t="n">
        <f aca="false">'Price Analysis'!F44</f>
        <v>0.986373165618449</v>
      </c>
      <c r="D19" s="13" t="n">
        <f aca="false">$C$5*(1+$C$6)^(4/12)</f>
        <v>899.685550592317</v>
      </c>
      <c r="E19" s="13" t="n">
        <f aca="false">D19*C19</f>
        <v>887.425684598921</v>
      </c>
      <c r="F19" s="13" t="n">
        <f aca="false">E19*(1+($C$8*$C$7)+($C$9*$C$10))</f>
        <v>908.723901029295</v>
      </c>
      <c r="G19" s="13" t="n">
        <f aca="false">F19*(1+$C$11)</f>
        <v>981.421813111639</v>
      </c>
      <c r="H19" s="13" t="n">
        <f aca="false">F19*(1+$C$12)</f>
        <v>845.113227957244</v>
      </c>
      <c r="I19" s="13" t="n">
        <f aca="false">G19-H19</f>
        <v>136.308585154394</v>
      </c>
      <c r="J19" s="7" t="s">
        <v>130</v>
      </c>
    </row>
    <row r="20" customFormat="false" ht="18" hidden="false" customHeight="true" outlineLevel="0" collapsed="false">
      <c r="B20" s="32" t="s">
        <v>131</v>
      </c>
      <c r="C20" s="33" t="n">
        <f aca="false">'Price Analysis'!G44</f>
        <v>1.03179594689029</v>
      </c>
      <c r="D20" s="11" t="n">
        <f aca="false">$C$5*(1+$C$6)^(5/12)</f>
        <v>902.630886970761</v>
      </c>
      <c r="E20" s="11" t="n">
        <f aca="false">D20*C20</f>
        <v>931.330890714416</v>
      </c>
      <c r="F20" s="11" t="n">
        <f aca="false">E20*(1+($C$8*$C$7)+($C$9*$C$10))</f>
        <v>953.682832091561</v>
      </c>
      <c r="G20" s="11" t="n">
        <f aca="false">F20*(1+$C$11)</f>
        <v>1029.97745865889</v>
      </c>
      <c r="H20" s="11" t="n">
        <f aca="false">F20*(1+$C$12)</f>
        <v>886.925033845152</v>
      </c>
      <c r="I20" s="11" t="n">
        <f aca="false">G20-H20</f>
        <v>143.052424813734</v>
      </c>
      <c r="J20" s="4" t="s">
        <v>132</v>
      </c>
    </row>
    <row r="21" customFormat="false" ht="18" hidden="false" customHeight="true" outlineLevel="0" collapsed="false">
      <c r="B21" s="34" t="s">
        <v>133</v>
      </c>
      <c r="C21" s="35" t="n">
        <f aca="false">'Price Analysis'!H44</f>
        <v>1.09084556254368</v>
      </c>
      <c r="D21" s="13" t="n">
        <f aca="false">$C$5*(1+$C$6)^(6/12)</f>
        <v>905.585865614079</v>
      </c>
      <c r="E21" s="13" t="n">
        <f aca="false">D21*C21</f>
        <v>987.854323007391</v>
      </c>
      <c r="F21" s="13" t="n">
        <f aca="false">E21*(1+($C$8*$C$7)+($C$9*$C$10))</f>
        <v>1011.56282675957</v>
      </c>
      <c r="G21" s="13" t="n">
        <f aca="false">F21*(1+$C$11)</f>
        <v>1092.48785290033</v>
      </c>
      <c r="H21" s="13" t="n">
        <f aca="false">F21*(1+$C$12)</f>
        <v>940.753428886399</v>
      </c>
      <c r="I21" s="13" t="n">
        <f aca="false">G21-H21</f>
        <v>151.734424013935</v>
      </c>
      <c r="J21" s="7" t="s">
        <v>134</v>
      </c>
    </row>
    <row r="22" customFormat="false" ht="18" hidden="false" customHeight="true" outlineLevel="0" collapsed="false">
      <c r="B22" s="32" t="s">
        <v>135</v>
      </c>
      <c r="C22" s="33" t="n">
        <f aca="false">'Price Analysis'!I44</f>
        <v>1.12264150943396</v>
      </c>
      <c r="D22" s="11" t="n">
        <f aca="false">$C$5*(1+$C$6)^(7/12)</f>
        <v>908.550518088536</v>
      </c>
      <c r="E22" s="11" t="n">
        <f aca="false">D22*C22</f>
        <v>1019.97652502392</v>
      </c>
      <c r="F22" s="11" t="n">
        <f aca="false">E22*(1+($C$8*$C$7)+($C$9*$C$10))</f>
        <v>1044.4559616245</v>
      </c>
      <c r="G22" s="11" t="n">
        <f aca="false">F22*(1+$C$11)</f>
        <v>1128.01243855446</v>
      </c>
      <c r="H22" s="11" t="n">
        <f aca="false">F22*(1+$C$12)</f>
        <v>971.344044310782</v>
      </c>
      <c r="I22" s="11" t="n">
        <f aca="false">G22-H22</f>
        <v>156.668394243675</v>
      </c>
      <c r="J22" s="4" t="s">
        <v>136</v>
      </c>
    </row>
    <row r="23" customFormat="false" ht="18" hidden="false" customHeight="true" outlineLevel="0" collapsed="false">
      <c r="B23" s="34" t="s">
        <v>137</v>
      </c>
      <c r="C23" s="35" t="n">
        <f aca="false">'Price Analysis'!J44</f>
        <v>1.10167714884696</v>
      </c>
      <c r="D23" s="13" t="n">
        <f aca="false">$C$5*(1+$C$6)^(8/12)</f>
        <v>911.52487606374</v>
      </c>
      <c r="E23" s="13" t="n">
        <f aca="false">D23*C23</f>
        <v>1004.20612656498</v>
      </c>
      <c r="F23" s="13" t="n">
        <f aca="false">E23*(1+($C$8*$C$7)+($C$9*$C$10))</f>
        <v>1028.30707360254</v>
      </c>
      <c r="G23" s="13" t="n">
        <f aca="false">F23*(1+$C$11)</f>
        <v>1110.57163949074</v>
      </c>
      <c r="H23" s="13" t="n">
        <f aca="false">F23*(1+$C$12)</f>
        <v>956.325578450362</v>
      </c>
      <c r="I23" s="13" t="n">
        <f aca="false">G23-H23</f>
        <v>154.246061040381</v>
      </c>
      <c r="J23" s="7" t="s">
        <v>138</v>
      </c>
    </row>
    <row r="24" customFormat="false" ht="18" hidden="false" customHeight="true" outlineLevel="0" collapsed="false">
      <c r="B24" s="32" t="s">
        <v>139</v>
      </c>
      <c r="C24" s="33" t="n">
        <f aca="false">'Price Analysis'!K44</f>
        <v>1.05590496156534</v>
      </c>
      <c r="D24" s="11" t="n">
        <f aca="false">$C$5*(1+$C$6)^(9/12)</f>
        <v>914.508971312974</v>
      </c>
      <c r="E24" s="11" t="n">
        <f aca="false">D24*C24</f>
        <v>965.634560205383</v>
      </c>
      <c r="F24" s="11" t="n">
        <f aca="false">E24*(1+($C$8*$C$7)+($C$9*$C$10))</f>
        <v>988.809789650312</v>
      </c>
      <c r="G24" s="11" t="n">
        <f aca="false">F24*(1+$C$11)</f>
        <v>1067.91457282234</v>
      </c>
      <c r="H24" s="11" t="n">
        <f aca="false">F24*(1+$C$12)</f>
        <v>919.59310437479</v>
      </c>
      <c r="I24" s="11" t="n">
        <f aca="false">G24-H24</f>
        <v>148.321468447547</v>
      </c>
      <c r="J24" s="4" t="s">
        <v>25</v>
      </c>
    </row>
    <row r="25" customFormat="false" ht="18" hidden="false" customHeight="true" outlineLevel="0" collapsed="false">
      <c r="B25" s="34" t="s">
        <v>140</v>
      </c>
      <c r="C25" s="35" t="n">
        <f aca="false">'Price Analysis'!L44</f>
        <v>1.00279524807827</v>
      </c>
      <c r="D25" s="13" t="n">
        <f aca="false">$C$5*(1+$C$6)^(10/12)</f>
        <v>917.502835713539</v>
      </c>
      <c r="E25" s="13" t="n">
        <f aca="false">D25*C25</f>
        <v>920.067483751872</v>
      </c>
      <c r="F25" s="13" t="n">
        <f aca="false">E25*(1+($C$8*$C$7)+($C$9*$C$10))</f>
        <v>942.149103361917</v>
      </c>
      <c r="G25" s="13" t="n">
        <f aca="false">F25*(1+$C$11)</f>
        <v>1017.52103163087</v>
      </c>
      <c r="H25" s="13" t="n">
        <f aca="false">F25*(1+$C$12)</f>
        <v>876.198666126583</v>
      </c>
      <c r="I25" s="13" t="n">
        <f aca="false">G25-H25</f>
        <v>141.322365504288</v>
      </c>
      <c r="J25" s="7" t="s">
        <v>141</v>
      </c>
    </row>
    <row r="26" customFormat="false" ht="18" hidden="false" customHeight="true" outlineLevel="0" collapsed="false">
      <c r="B26" s="32" t="s">
        <v>142</v>
      </c>
      <c r="C26" s="33" t="n">
        <f aca="false">'Price Analysis'!M44</f>
        <v>0.944444444444444</v>
      </c>
      <c r="D26" s="11" t="n">
        <f aca="false">$C$5*(1+$C$6)^(11/12)</f>
        <v>920.506501247095</v>
      </c>
      <c r="E26" s="11" t="n">
        <f aca="false">D26*C26</f>
        <v>869.367251177812</v>
      </c>
      <c r="F26" s="11" t="n">
        <f aca="false">E26*(1+($C$8*$C$7)+($C$9*$C$10))</f>
        <v>890.232065206079</v>
      </c>
      <c r="G26" s="11" t="n">
        <f aca="false">F26*(1+$C$11)</f>
        <v>961.450630422565</v>
      </c>
      <c r="H26" s="11" t="n">
        <f aca="false">F26*(1+$C$12)</f>
        <v>827.915820641654</v>
      </c>
      <c r="I26" s="11" t="n">
        <f aca="false">G26-H26</f>
        <v>133.534809780912</v>
      </c>
      <c r="J26" s="4" t="s">
        <v>143</v>
      </c>
    </row>
    <row r="27" customFormat="false" ht="18" hidden="false" customHeight="true" outlineLevel="0" collapsed="false">
      <c r="B27" s="34" t="s">
        <v>144</v>
      </c>
      <c r="C27" s="35" t="n">
        <f aca="false">'Price Analysis'!N44</f>
        <v>0.912997903563941</v>
      </c>
      <c r="D27" s="13" t="n">
        <f aca="false">$C$5*(1+$C$6)^(12/12)</f>
        <v>923.52</v>
      </c>
      <c r="E27" s="13" t="n">
        <f aca="false">D27*C27</f>
        <v>843.171823899371</v>
      </c>
      <c r="F27" s="13" t="n">
        <f aca="false">E27*(1+($C$8*$C$7)+($C$9*$C$10))</f>
        <v>863.407947672956</v>
      </c>
      <c r="G27" s="13" t="n">
        <f aca="false">F27*(1+$C$11)</f>
        <v>932.480583486792</v>
      </c>
      <c r="H27" s="13" t="n">
        <f aca="false">F27*(1+$C$12)</f>
        <v>802.969391335849</v>
      </c>
      <c r="I27" s="13" t="n">
        <f aca="false">G27-H27</f>
        <v>129.511192150944</v>
      </c>
      <c r="J27" s="7" t="s">
        <v>145</v>
      </c>
    </row>
    <row r="28" customFormat="false" ht="7.5" hidden="false" customHeight="true" outlineLevel="0" collapsed="false"/>
    <row r="29" customFormat="false" ht="19.5" hidden="false" customHeight="true" outlineLevel="0" collapsed="false">
      <c r="B29" s="9" t="s">
        <v>146</v>
      </c>
      <c r="C29" s="9"/>
      <c r="D29" s="9"/>
      <c r="E29" s="9"/>
      <c r="F29" s="9"/>
      <c r="G29" s="9"/>
      <c r="H29" s="9"/>
      <c r="I29" s="9"/>
    </row>
    <row r="30" customFormat="false" ht="18" hidden="false" customHeight="true" outlineLevel="0" collapsed="false">
      <c r="B30" s="10" t="s">
        <v>147</v>
      </c>
      <c r="C30" s="11" t="n">
        <f aca="false">AVERAGE(F16:F27)</f>
        <v>929.081080574745</v>
      </c>
    </row>
    <row r="31" customFormat="false" ht="18" hidden="false" customHeight="true" outlineLevel="0" collapsed="false">
      <c r="B31" s="12" t="s">
        <v>148</v>
      </c>
      <c r="C31" s="13" t="n">
        <f aca="false">AVERAGE(G16:G27)</f>
        <v>1003.40756702072</v>
      </c>
    </row>
    <row r="32" customFormat="false" ht="18" hidden="false" customHeight="true" outlineLevel="0" collapsed="false">
      <c r="B32" s="10" t="s">
        <v>149</v>
      </c>
      <c r="C32" s="11" t="n">
        <f aca="false">AVERAGE(H16:H27)</f>
        <v>864.045404934513</v>
      </c>
    </row>
    <row r="33" customFormat="false" ht="18" hidden="false" customHeight="true" outlineLevel="0" collapsed="false">
      <c r="B33" s="12" t="s">
        <v>150</v>
      </c>
      <c r="C33" s="13" t="n">
        <f aca="false">AVERAGE(I16:I27)</f>
        <v>139.362162086212</v>
      </c>
    </row>
    <row r="34" customFormat="false" ht="18" hidden="false" customHeight="true" outlineLevel="0" collapsed="false">
      <c r="B34" s="10" t="s">
        <v>151</v>
      </c>
      <c r="C34" s="14" t="n">
        <f aca="false">IFERROR((F30-AVERAGE('Historical Data'!C29:C40))/AVERAGE('Historical Data'!C29:C40),0)</f>
        <v>-1</v>
      </c>
    </row>
    <row r="35" customFormat="false" ht="18" hidden="false" customHeight="true" outlineLevel="0" collapsed="false">
      <c r="B35" s="12" t="s">
        <v>152</v>
      </c>
      <c r="C35" s="36" t="str">
        <f aca="false">INDEX(B16:B27,MATCH(MAX(F16:F27),F16:F27,0))</f>
        <v>Jul-2025</v>
      </c>
    </row>
    <row r="36" customFormat="false" ht="18" hidden="false" customHeight="true" outlineLevel="0" collapsed="false">
      <c r="B36" s="10" t="s">
        <v>153</v>
      </c>
      <c r="C36" s="37" t="str">
        <f aca="false">INDEX(B16:B27,MATCH(MIN(F16:F27),F16:F27,0))</f>
        <v>Jan-2025</v>
      </c>
    </row>
  </sheetData>
  <mergeCells count="5">
    <mergeCell ref="B1:I1"/>
    <mergeCell ref="B2:I2"/>
    <mergeCell ref="B4:I4"/>
    <mergeCell ref="B14:I14"/>
    <mergeCell ref="B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6"/>
    <col collapsed="false" customWidth="true" hidden="false" outlineLevel="0" max="7" min="7" style="0" width="28"/>
  </cols>
  <sheetData>
    <row r="1" customFormat="false" ht="27.75" hidden="false" customHeight="true" outlineLevel="0" collapsed="false">
      <c r="B1" s="1" t="s">
        <v>154</v>
      </c>
      <c r="C1" s="1"/>
      <c r="D1" s="1"/>
      <c r="E1" s="1"/>
      <c r="F1" s="1"/>
      <c r="G1" s="1"/>
    </row>
    <row r="2" customFormat="false" ht="15.75" hidden="false" customHeight="true" outlineLevel="0" collapsed="false">
      <c r="B2" s="2" t="s">
        <v>155</v>
      </c>
      <c r="C2" s="2"/>
      <c r="D2" s="2"/>
      <c r="E2" s="2"/>
      <c r="F2" s="2"/>
      <c r="G2" s="2"/>
    </row>
    <row r="4" customFormat="false" ht="19.5" hidden="false" customHeight="true" outlineLevel="0" collapsed="false">
      <c r="B4" s="9" t="s">
        <v>156</v>
      </c>
      <c r="C4" s="9"/>
      <c r="D4" s="9"/>
      <c r="E4" s="9"/>
      <c r="F4" s="9"/>
      <c r="G4" s="9"/>
    </row>
    <row r="5" customFormat="false" ht="27.75" hidden="false" customHeight="true" outlineLevel="0" collapsed="false"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</row>
    <row r="6" customFormat="false" ht="21.75" hidden="false" customHeight="true" outlineLevel="0" collapsed="false">
      <c r="B6" s="10" t="s">
        <v>163</v>
      </c>
      <c r="C6" s="38" t="n">
        <f aca="false">CORREL('Historical Data'!F5:F40,'Historical Data'!C5:C40)</f>
        <v>0.351886870062258</v>
      </c>
      <c r="D6" s="39" t="s">
        <v>164</v>
      </c>
      <c r="E6" s="39" t="s">
        <v>165</v>
      </c>
      <c r="F6" s="39" t="s">
        <v>166</v>
      </c>
      <c r="G6" s="40" t="s">
        <v>167</v>
      </c>
    </row>
    <row r="7" customFormat="false" ht="21.75" hidden="false" customHeight="true" outlineLevel="0" collapsed="false">
      <c r="B7" s="12" t="s">
        <v>168</v>
      </c>
      <c r="C7" s="41" t="n">
        <f aca="false">CORREL('Historical Data'!G5:G40,'Historical Data'!C5:C40)</f>
        <v>0.840602626067611</v>
      </c>
      <c r="D7" s="42" t="s">
        <v>169</v>
      </c>
      <c r="E7" s="42" t="s">
        <v>165</v>
      </c>
      <c r="F7" s="42" t="s">
        <v>170</v>
      </c>
      <c r="G7" s="43" t="s">
        <v>171</v>
      </c>
    </row>
    <row r="8" customFormat="false" ht="21.75" hidden="false" customHeight="true" outlineLevel="0" collapsed="false">
      <c r="B8" s="10" t="s">
        <v>172</v>
      </c>
      <c r="C8" s="44" t="n">
        <v>0.612</v>
      </c>
      <c r="D8" s="39" t="s">
        <v>169</v>
      </c>
      <c r="E8" s="39" t="s">
        <v>173</v>
      </c>
      <c r="F8" s="39" t="s">
        <v>170</v>
      </c>
      <c r="G8" s="40" t="s">
        <v>174</v>
      </c>
    </row>
    <row r="9" customFormat="false" ht="21.75" hidden="false" customHeight="true" outlineLevel="0" collapsed="false">
      <c r="B9" s="12" t="s">
        <v>175</v>
      </c>
      <c r="C9" s="41" t="n">
        <f aca="false">IFERROR(('Historical Data'!C40-'Historical Data'!C5)/('Historical Data'!C5*35),0)</f>
        <v>0.00236933797909408</v>
      </c>
      <c r="D9" s="42" t="s">
        <v>164</v>
      </c>
      <c r="E9" s="42" t="s">
        <v>165</v>
      </c>
      <c r="F9" s="42" t="s">
        <v>166</v>
      </c>
      <c r="G9" s="43" t="s">
        <v>176</v>
      </c>
    </row>
    <row r="10" customFormat="false" ht="21.75" hidden="false" customHeight="true" outlineLevel="0" collapsed="false">
      <c r="B10" s="10" t="s">
        <v>177</v>
      </c>
      <c r="C10" s="38" t="n">
        <f aca="false">CORREL('Historical Data'!D5:D40,'Historical Data'!C5:C40)</f>
        <v>0.994607460939603</v>
      </c>
      <c r="D10" s="39" t="s">
        <v>178</v>
      </c>
      <c r="E10" s="39" t="s">
        <v>165</v>
      </c>
      <c r="F10" s="39" t="s">
        <v>179</v>
      </c>
      <c r="G10" s="40" t="s">
        <v>180</v>
      </c>
    </row>
    <row r="11" customFormat="false" ht="21.75" hidden="false" customHeight="true" outlineLevel="0" collapsed="false">
      <c r="B11" s="12" t="s">
        <v>181</v>
      </c>
      <c r="C11" s="41" t="n">
        <f aca="false">CORREL('Historical Data'!E5:E40,'Historical Data'!C5:C40)</f>
        <v>0.900780888045544</v>
      </c>
      <c r="D11" s="42" t="s">
        <v>164</v>
      </c>
      <c r="E11" s="42" t="s">
        <v>165</v>
      </c>
      <c r="F11" s="42" t="s">
        <v>166</v>
      </c>
      <c r="G11" s="43" t="s">
        <v>182</v>
      </c>
    </row>
    <row r="12" customFormat="false" ht="7.5" hidden="false" customHeight="true" outlineLevel="0" collapsed="false"/>
    <row r="13" customFormat="false" ht="19.5" hidden="false" customHeight="true" outlineLevel="0" collapsed="false">
      <c r="B13" s="9" t="s">
        <v>183</v>
      </c>
      <c r="C13" s="9"/>
      <c r="D13" s="9"/>
      <c r="E13" s="9"/>
      <c r="F13" s="9"/>
      <c r="G13" s="9"/>
    </row>
    <row r="14" customFormat="false" ht="18" hidden="false" customHeight="true" outlineLevel="0" collapsed="false">
      <c r="B14" s="45" t="s">
        <v>184</v>
      </c>
      <c r="C14" s="45"/>
      <c r="D14" s="45"/>
      <c r="E14" s="45"/>
      <c r="F14" s="45"/>
      <c r="G14" s="45"/>
    </row>
    <row r="15" customFormat="false" ht="18" hidden="false" customHeight="true" outlineLevel="0" collapsed="false">
      <c r="B15" s="12" t="s">
        <v>185</v>
      </c>
      <c r="C15" s="46" t="s">
        <v>186</v>
      </c>
      <c r="D15" s="46"/>
      <c r="E15" s="46"/>
      <c r="F15" s="46"/>
      <c r="G15" s="46"/>
    </row>
    <row r="16" customFormat="false" ht="18" hidden="false" customHeight="true" outlineLevel="0" collapsed="false">
      <c r="B16" s="10" t="s">
        <v>187</v>
      </c>
      <c r="C16" s="47" t="s">
        <v>188</v>
      </c>
      <c r="D16" s="47"/>
      <c r="E16" s="47"/>
      <c r="F16" s="47"/>
      <c r="G16" s="47"/>
    </row>
    <row r="17" customFormat="false" ht="18" hidden="false" customHeight="true" outlineLevel="0" collapsed="false">
      <c r="B17" s="12" t="s">
        <v>189</v>
      </c>
      <c r="C17" s="46" t="s">
        <v>190</v>
      </c>
      <c r="D17" s="46"/>
      <c r="E17" s="46"/>
      <c r="F17" s="46"/>
      <c r="G17" s="46"/>
    </row>
    <row r="18" customFormat="false" ht="18" hidden="false" customHeight="true" outlineLevel="0" collapsed="false">
      <c r="B18" s="10" t="s">
        <v>191</v>
      </c>
      <c r="C18" s="47" t="s">
        <v>192</v>
      </c>
      <c r="D18" s="47"/>
      <c r="E18" s="47"/>
      <c r="F18" s="47"/>
      <c r="G18" s="47"/>
    </row>
    <row r="19" customFormat="false" ht="18" hidden="false" customHeight="true" outlineLevel="0" collapsed="false">
      <c r="B19" s="45" t="s">
        <v>193</v>
      </c>
      <c r="C19" s="45"/>
      <c r="D19" s="45"/>
      <c r="E19" s="45"/>
      <c r="F19" s="45"/>
      <c r="G19" s="45"/>
    </row>
    <row r="20" customFormat="false" ht="18" hidden="false" customHeight="true" outlineLevel="0" collapsed="false">
      <c r="B20" s="10" t="s">
        <v>194</v>
      </c>
      <c r="C20" s="47" t="s">
        <v>195</v>
      </c>
      <c r="D20" s="47"/>
      <c r="E20" s="47"/>
      <c r="F20" s="47"/>
      <c r="G20" s="47"/>
    </row>
    <row r="21" customFormat="false" ht="18" hidden="false" customHeight="true" outlineLevel="0" collapsed="false">
      <c r="B21" s="12" t="s">
        <v>196</v>
      </c>
      <c r="C21" s="46" t="s">
        <v>197</v>
      </c>
      <c r="D21" s="46"/>
      <c r="E21" s="46"/>
      <c r="F21" s="46"/>
      <c r="G21" s="46"/>
    </row>
    <row r="22" customFormat="false" ht="18" hidden="false" customHeight="true" outlineLevel="0" collapsed="false">
      <c r="B22" s="10" t="s">
        <v>198</v>
      </c>
      <c r="C22" s="47" t="s">
        <v>199</v>
      </c>
      <c r="D22" s="47"/>
      <c r="E22" s="47"/>
      <c r="F22" s="47"/>
      <c r="G22" s="47"/>
    </row>
    <row r="23" customFormat="false" ht="18" hidden="false" customHeight="true" outlineLevel="0" collapsed="false">
      <c r="B23" s="12" t="s">
        <v>200</v>
      </c>
      <c r="C23" s="46" t="s">
        <v>201</v>
      </c>
      <c r="D23" s="46"/>
      <c r="E23" s="46"/>
      <c r="F23" s="46"/>
      <c r="G23" s="46"/>
    </row>
    <row r="24" customFormat="false" ht="18" hidden="false" customHeight="true" outlineLevel="0" collapsed="false">
      <c r="B24" s="45" t="s">
        <v>202</v>
      </c>
      <c r="C24" s="45"/>
      <c r="D24" s="45"/>
      <c r="E24" s="45"/>
      <c r="F24" s="45"/>
      <c r="G24" s="45"/>
    </row>
    <row r="25" customFormat="false" ht="18" hidden="false" customHeight="true" outlineLevel="0" collapsed="false">
      <c r="B25" s="12" t="s">
        <v>203</v>
      </c>
      <c r="C25" s="46" t="s">
        <v>204</v>
      </c>
      <c r="D25" s="46"/>
      <c r="E25" s="46"/>
      <c r="F25" s="46"/>
      <c r="G25" s="46"/>
    </row>
    <row r="26" customFormat="false" ht="18" hidden="false" customHeight="true" outlineLevel="0" collapsed="false">
      <c r="B26" s="10" t="s">
        <v>205</v>
      </c>
      <c r="C26" s="47" t="s">
        <v>206</v>
      </c>
      <c r="D26" s="47"/>
      <c r="E26" s="47"/>
      <c r="F26" s="47"/>
      <c r="G26" s="47"/>
    </row>
    <row r="27" customFormat="false" ht="18" hidden="false" customHeight="true" outlineLevel="0" collapsed="false">
      <c r="B27" s="12" t="s">
        <v>207</v>
      </c>
      <c r="C27" s="46" t="s">
        <v>208</v>
      </c>
      <c r="D27" s="46"/>
      <c r="E27" s="46"/>
      <c r="F27" s="46"/>
      <c r="G27" s="46"/>
    </row>
    <row r="28" customFormat="false" ht="18" hidden="false" customHeight="true" outlineLevel="0" collapsed="false">
      <c r="B28" s="10" t="s">
        <v>209</v>
      </c>
      <c r="C28" s="47" t="s">
        <v>210</v>
      </c>
      <c r="D28" s="47"/>
      <c r="E28" s="47"/>
      <c r="F28" s="47"/>
      <c r="G28" s="47"/>
    </row>
  </sheetData>
  <mergeCells count="19">
    <mergeCell ref="B1:G1"/>
    <mergeCell ref="B2:G2"/>
    <mergeCell ref="B4:G4"/>
    <mergeCell ref="B13:G13"/>
    <mergeCell ref="B14:G14"/>
    <mergeCell ref="C15:G15"/>
    <mergeCell ref="C16:G16"/>
    <mergeCell ref="C17:G17"/>
    <mergeCell ref="C18:G18"/>
    <mergeCell ref="B19:G19"/>
    <mergeCell ref="C20:G20"/>
    <mergeCell ref="C21:G21"/>
    <mergeCell ref="C22:G22"/>
    <mergeCell ref="C23:G23"/>
    <mergeCell ref="B24:G24"/>
    <mergeCell ref="C25:G25"/>
    <mergeCell ref="C26:G26"/>
    <mergeCell ref="C27:G27"/>
    <mergeCell ref="C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22"/>
  </cols>
  <sheetData>
    <row r="1" customFormat="false" ht="27.75" hidden="false" customHeight="true" outlineLevel="0" collapsed="false">
      <c r="B1" s="1" t="s">
        <v>211</v>
      </c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B2" s="2" t="s">
        <v>212</v>
      </c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B4" s="9" t="s">
        <v>213</v>
      </c>
      <c r="C4" s="9"/>
      <c r="D4" s="9"/>
      <c r="E4" s="9"/>
      <c r="F4" s="9"/>
      <c r="G4" s="9"/>
      <c r="H4" s="9"/>
    </row>
    <row r="5" customFormat="false" ht="19.5" hidden="false" customHeight="true" outlineLevel="0" collapsed="false">
      <c r="B5" s="10" t="s">
        <v>214</v>
      </c>
      <c r="C5" s="48" t="n">
        <f aca="false">'Historical Data'!C40</f>
        <v>888</v>
      </c>
      <c r="D5" s="4" t="s">
        <v>215</v>
      </c>
    </row>
    <row r="6" customFormat="false" ht="19.5" hidden="false" customHeight="true" outlineLevel="0" collapsed="false">
      <c r="B6" s="12" t="s">
        <v>216</v>
      </c>
      <c r="C6" s="48" t="n">
        <f aca="false">'Historical Data'!D40</f>
        <v>1458</v>
      </c>
      <c r="D6" s="7" t="s">
        <v>215</v>
      </c>
    </row>
    <row r="7" customFormat="false" ht="19.5" hidden="false" customHeight="true" outlineLevel="0" collapsed="false">
      <c r="B7" s="10" t="s">
        <v>217</v>
      </c>
      <c r="C7" s="48" t="n">
        <f aca="false">'Historical Data'!E40</f>
        <v>492</v>
      </c>
      <c r="D7" s="4" t="s">
        <v>215</v>
      </c>
    </row>
    <row r="8" customFormat="false" ht="19.5" hidden="false" customHeight="true" outlineLevel="0" collapsed="false">
      <c r="B8" s="12" t="s">
        <v>218</v>
      </c>
      <c r="C8" s="49" t="n">
        <f aca="false">IFERROR(('Historical Data'!C40-'Historical Data'!C28)/'Historical Data'!C28,0)</f>
        <v>0.0148571428571429</v>
      </c>
      <c r="D8" s="7" t="s">
        <v>219</v>
      </c>
    </row>
    <row r="9" customFormat="false" ht="19.5" hidden="false" customHeight="true" outlineLevel="0" collapsed="false">
      <c r="B9" s="10" t="s">
        <v>220</v>
      </c>
      <c r="C9" s="49" t="n">
        <f aca="false">IFERROR(('Historical Data'!D40-'Historical Data'!D28)/'Historical Data'!D28,0)</f>
        <v>0.0069060773480663</v>
      </c>
      <c r="D9" s="4" t="s">
        <v>219</v>
      </c>
    </row>
    <row r="10" customFormat="false" ht="19.5" hidden="false" customHeight="true" outlineLevel="0" collapsed="false">
      <c r="B10" s="12" t="s">
        <v>221</v>
      </c>
      <c r="C10" s="49" t="n">
        <f aca="false">IFERROR(('Historical Data'!C40/'Historical Data'!C5)^(1/3)-1,0)</f>
        <v>0.026911548263151</v>
      </c>
      <c r="D10" s="7" t="s">
        <v>222</v>
      </c>
    </row>
    <row r="11" customFormat="false" ht="19.5" hidden="false" customHeight="true" outlineLevel="0" collapsed="false">
      <c r="B11" s="10" t="s">
        <v>223</v>
      </c>
      <c r="C11" s="49" t="n">
        <f aca="false">'Historical Data'!D46</f>
        <v>92.1122848260373</v>
      </c>
      <c r="D11" s="4" t="s">
        <v>224</v>
      </c>
    </row>
    <row r="12" customFormat="false" ht="19.5" hidden="false" customHeight="true" outlineLevel="0" collapsed="false">
      <c r="B12" s="12" t="s">
        <v>225</v>
      </c>
      <c r="C12" s="48" t="n">
        <f aca="false">AVERAGE('Historical Data'!C29:C40)</f>
        <v>976.333333333333</v>
      </c>
      <c r="D12" s="7" t="s">
        <v>226</v>
      </c>
    </row>
    <row r="13" customFormat="false" ht="7.5" hidden="false" customHeight="true" outlineLevel="0" collapsed="false"/>
    <row r="14" customFormat="false" ht="19.5" hidden="false" customHeight="true" outlineLevel="0" collapsed="false">
      <c r="B14" s="9" t="s">
        <v>227</v>
      </c>
      <c r="C14" s="9"/>
      <c r="D14" s="9"/>
      <c r="E14" s="9"/>
      <c r="F14" s="9"/>
      <c r="G14" s="9"/>
      <c r="H14" s="9"/>
    </row>
    <row r="15" customFormat="false" ht="19.5" hidden="false" customHeight="true" outlineLevel="0" collapsed="false">
      <c r="B15" s="10" t="s">
        <v>228</v>
      </c>
      <c r="C15" s="48" t="n">
        <f aca="false">'Price Forecast'!F30</f>
        <v>0</v>
      </c>
      <c r="D15" s="4" t="s">
        <v>229</v>
      </c>
    </row>
    <row r="16" customFormat="false" ht="19.5" hidden="false" customHeight="true" outlineLevel="0" collapsed="false">
      <c r="B16" s="12" t="s">
        <v>230</v>
      </c>
      <c r="C16" s="48" t="n">
        <f aca="false">'Price Forecast'!G30</f>
        <v>0</v>
      </c>
      <c r="D16" s="7" t="s">
        <v>231</v>
      </c>
    </row>
    <row r="17" customFormat="false" ht="19.5" hidden="false" customHeight="true" outlineLevel="0" collapsed="false">
      <c r="B17" s="10" t="s">
        <v>232</v>
      </c>
      <c r="C17" s="48" t="n">
        <f aca="false">'Price Forecast'!H30</f>
        <v>0</v>
      </c>
      <c r="D17" s="4" t="s">
        <v>233</v>
      </c>
    </row>
    <row r="18" customFormat="false" ht="19.5" hidden="false" customHeight="true" outlineLevel="0" collapsed="false">
      <c r="B18" s="12" t="s">
        <v>234</v>
      </c>
      <c r="C18" s="49" t="n">
        <f aca="false">'Price Forecast'!F34</f>
        <v>0</v>
      </c>
      <c r="D18" s="7" t="s">
        <v>235</v>
      </c>
    </row>
    <row r="19" customFormat="false" ht="19.5" hidden="false" customHeight="true" outlineLevel="0" collapsed="false">
      <c r="B19" s="10" t="s">
        <v>236</v>
      </c>
      <c r="C19" s="50" t="n">
        <f aca="false">'Price Forecast'!F35</f>
        <v>0</v>
      </c>
      <c r="D19" s="4" t="s">
        <v>237</v>
      </c>
    </row>
    <row r="20" customFormat="false" ht="19.5" hidden="false" customHeight="true" outlineLevel="0" collapsed="false">
      <c r="B20" s="12" t="s">
        <v>238</v>
      </c>
      <c r="C20" s="50" t="n">
        <f aca="false">'Price Forecast'!F36</f>
        <v>0</v>
      </c>
      <c r="D20" s="7" t="s">
        <v>239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9" t="s">
        <v>240</v>
      </c>
      <c r="C22" s="9"/>
      <c r="D22" s="9"/>
      <c r="E22" s="9"/>
      <c r="F22" s="9"/>
      <c r="G22" s="9"/>
      <c r="H22" s="9"/>
    </row>
    <row r="23" customFormat="false" ht="19.5" hidden="false" customHeight="true" outlineLevel="0" collapsed="false">
      <c r="B23" s="10" t="s">
        <v>241</v>
      </c>
      <c r="C23" s="51" t="s">
        <v>242</v>
      </c>
      <c r="D23" s="47" t="s">
        <v>243</v>
      </c>
      <c r="E23" s="47"/>
      <c r="F23" s="47"/>
      <c r="G23" s="47"/>
      <c r="H23" s="47"/>
    </row>
    <row r="24" customFormat="false" ht="19.5" hidden="false" customHeight="true" outlineLevel="0" collapsed="false">
      <c r="B24" s="12" t="s">
        <v>244</v>
      </c>
      <c r="C24" s="52" t="s">
        <v>245</v>
      </c>
      <c r="D24" s="46" t="s">
        <v>246</v>
      </c>
      <c r="E24" s="46"/>
      <c r="F24" s="46"/>
      <c r="G24" s="46"/>
      <c r="H24" s="46"/>
    </row>
    <row r="25" customFormat="false" ht="19.5" hidden="false" customHeight="true" outlineLevel="0" collapsed="false">
      <c r="B25" s="10" t="s">
        <v>247</v>
      </c>
      <c r="C25" s="53" t="s">
        <v>248</v>
      </c>
      <c r="D25" s="47" t="s">
        <v>249</v>
      </c>
      <c r="E25" s="47"/>
      <c r="F25" s="47"/>
      <c r="G25" s="47"/>
      <c r="H25" s="47"/>
    </row>
    <row r="26" customFormat="false" ht="19.5" hidden="false" customHeight="true" outlineLevel="0" collapsed="false">
      <c r="B26" s="12" t="s">
        <v>250</v>
      </c>
      <c r="C26" s="54" t="s">
        <v>251</v>
      </c>
      <c r="D26" s="46" t="s">
        <v>252</v>
      </c>
      <c r="E26" s="46"/>
      <c r="F26" s="46"/>
      <c r="G26" s="46"/>
      <c r="H26" s="46"/>
    </row>
    <row r="27" customFormat="false" ht="19.5" hidden="false" customHeight="true" outlineLevel="0" collapsed="false">
      <c r="B27" s="10" t="s">
        <v>253</v>
      </c>
      <c r="C27" s="51" t="s">
        <v>242</v>
      </c>
      <c r="D27" s="47" t="s">
        <v>254</v>
      </c>
      <c r="E27" s="47"/>
      <c r="F27" s="47"/>
      <c r="G27" s="47"/>
      <c r="H27" s="47"/>
    </row>
    <row r="28" customFormat="false" ht="19.5" hidden="false" customHeight="true" outlineLevel="0" collapsed="false">
      <c r="B28" s="12" t="s">
        <v>255</v>
      </c>
      <c r="C28" s="55" t="s">
        <v>242</v>
      </c>
      <c r="D28" s="46" t="s">
        <v>256</v>
      </c>
      <c r="E28" s="46"/>
      <c r="F28" s="46"/>
      <c r="G28" s="46"/>
      <c r="H28" s="46"/>
    </row>
  </sheetData>
  <mergeCells count="11">
    <mergeCell ref="B1:H1"/>
    <mergeCell ref="B2:H2"/>
    <mergeCell ref="B4:H4"/>
    <mergeCell ref="B14:H14"/>
    <mergeCell ref="B22:H22"/>
    <mergeCell ref="D23:H23"/>
    <mergeCell ref="D24:H24"/>
    <mergeCell ref="D25:H25"/>
    <mergeCell ref="D26:H26"/>
    <mergeCell ref="D27:H27"/>
    <mergeCell ref="D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2026-06-19T05:31:47Z</dcterms:created>
  <dc:creator>openpyxl</dc:creator>
  <dc:description/>
  <dc:language>en-US</dc:language>
  <cp:lastModifiedBy/>
  <dcterms:modified xsi:type="dcterms:W3CDTF">2026-06-19T05:31:47Z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
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Farm Inputs" sheetId="3" state="visible" r:id="rId5"/>
    <sheet name="Harvest &amp; Pack" sheetId="4" state="visible" r:id="rId6"/>
    <sheet name="Cold Chain" sheetId="5" state="visible" r:id="rId7"/>
    <sheet name="Logistics" sheetId="6" state="visible" r:id="rId8"/>
    <sheet name="Spoilage" sheetId="7" state="visible" r:id="rId9"/>
    <sheet name="Admin" sheetId="8" state="visible" r:id="rId10"/>
    <sheet name="Scenario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<sst xmlns="http://schemas.openxmlformats.org/spreadsheetml/2006/main" count="233" uniqueCount="183">
  <si>
    <t xml:space="preserve">PERISHABLE FARMS CANADA</t>
  </si>
  <si>
    <t xml:space="preserve">Supply Chain Cost Analysis Model</t>
  </si>
  <si>
    <t xml:space="preserve">Commodity: Fresh Tomatoes  |  Route: Ontario Farm → Toronto Wholesale Market</t>
  </si>
  <si>
    <t xml:space="preserve">Prepared by:</t>
  </si>
  <si>
    <t xml:space="preserve">Your Name</t>
  </si>
  <si>
    <t xml:space="preserve">Date:</t>
  </si>
  <si>
    <t xml:space="preserve">June 2025</t>
  </si>
  <si>
    <t xml:space="preserve">Version:</t>
  </si>
  <si>
    <t xml:space="preserve">1.0</t>
  </si>
  <si>
    <t xml:space="preserve">Currency:</t>
  </si>
  <si>
    <t xml:space="preserve">Canadian Dollar (CAD)</t>
  </si>
  <si>
    <t xml:space="preserve">Unit of Analysis:</t>
  </si>
  <si>
    <t xml:space="preserve">Per Tonne of Fresh Tomatoes</t>
  </si>
  <si>
    <t xml:space="preserve">EXECUTIVE SUMMARY – KEY METRICS</t>
  </si>
  <si>
    <t xml:space="preserve">Cost Category</t>
  </si>
  <si>
    <t xml:space="preserve">CAD $ / Tonne</t>
  </si>
  <si>
    <t xml:space="preserve">% of Total Cost</t>
  </si>
  <si>
    <t xml:space="preserve">Notes</t>
  </si>
  <si>
    <t xml:space="preserve">1. Farm Input Costs</t>
  </si>
  <si>
    <t xml:space="preserve">Seeds, labour, irrigation, fertiliser</t>
  </si>
  <si>
    <t xml:space="preserve">2. Harvesting &amp; Packing</t>
  </si>
  <si>
    <t xml:space="preserve">Manual + mechanical harvest, grading</t>
  </si>
  <si>
    <t xml:space="preserve">3. Cold Chain &amp; Storage</t>
  </si>
  <si>
    <t xml:space="preserve">Pre-cooling, cold storage, reefer transport</t>
  </si>
  <si>
    <t xml:space="preserve">4. Transport &amp; Logistics</t>
  </si>
  <si>
    <t xml:space="preserve">Truck, fuel, tolls, loading/unloading</t>
  </si>
  <si>
    <t xml:space="preserve">5. Spoilage &amp; Waste</t>
  </si>
  <si>
    <t xml:space="preserve">Estimated losses along chain</t>
  </si>
  <si>
    <t xml:space="preserve">6. Admin &amp; Overheads</t>
  </si>
  <si>
    <t xml:space="preserve">Insurance, compliance, management</t>
  </si>
  <si>
    <t xml:space="preserve">TOTAL SUPPLY CHAIN COST</t>
  </si>
  <si>
    <t xml:space="preserve">Market Selling Price (CAD $/tonne)</t>
  </si>
  <si>
    <t xml:space="preserve">Gross Margin (CAD $/tonne)</t>
  </si>
  <si>
    <t xml:space="preserve">Gross Margin %</t>
  </si>
  <si>
    <t xml:space="preserve">KEY ASSUMPTIONS</t>
  </si>
  <si>
    <t xml:space="preserve">All blue cells are editable inputs. Change values to model different scenarios.</t>
  </si>
  <si>
    <t xml:space="preserve">MARKET &amp; REVENUE</t>
  </si>
  <si>
    <t xml:space="preserve">Market selling price (CAD $/tonne)</t>
  </si>
  <si>
    <t xml:space="preserve">CAD / tonne</t>
  </si>
  <si>
    <t xml:space="preserve">Source: AAFC Wholesale Price Report, 2024</t>
  </si>
  <si>
    <t xml:space="preserve">Annual production volume (tonnes/year)</t>
  </si>
  <si>
    <t xml:space="preserve">Assumed mid-size Ontario greenhouse farm</t>
  </si>
  <si>
    <t xml:space="preserve">Market distance – farm to buyer (km)</t>
  </si>
  <si>
    <t xml:space="preserve">Toronto Distribution Hub</t>
  </si>
  <si>
    <t xml:space="preserve">FARM INPUT RATES</t>
  </si>
  <si>
    <t xml:space="preserve">Seed cost (CAD $/tonne output)</t>
  </si>
  <si>
    <t xml:space="preserve">Source: Sakata Seed Canada, 2024</t>
  </si>
  <si>
    <t xml:space="preserve">Fertiliser &amp; inputs (CAD $/tonne)</t>
  </si>
  <si>
    <t xml:space="preserve">NPK + micro-nutrients blend</t>
  </si>
  <si>
    <t xml:space="preserve">Irrigation water cost (CAD $/tonne)</t>
  </si>
  <si>
    <t xml:space="preserve">Ontario municipal water rate</t>
  </si>
  <si>
    <t xml:space="preserve">Labour – growing (CAD $/tonne)</t>
  </si>
  <si>
    <t xml:space="preserve">Seasonal worker @ CAD $17/hr</t>
  </si>
  <si>
    <t xml:space="preserve">HARVEST &amp; PACKING</t>
  </si>
  <si>
    <t xml:space="preserve">Harvest labour (CAD $/tonne)</t>
  </si>
  <si>
    <t xml:space="preserve">Manual picking @ $17/hr</t>
  </si>
  <si>
    <t xml:space="preserve">Packaging materials (CAD $/tonne)</t>
  </si>
  <si>
    <t xml:space="preserve">20 kg clamshell trays</t>
  </si>
  <si>
    <t xml:space="preserve">Grading &amp; quality check (CAD $/tonne)</t>
  </si>
  <si>
    <t xml:space="preserve">CFIA compliant grading line</t>
  </si>
  <si>
    <t xml:space="preserve">COLD CHAIN</t>
  </si>
  <si>
    <t xml:space="preserve">Pre-cooling (CAD $/tonne)</t>
  </si>
  <si>
    <t xml:space="preserve">Forced-air cooling to 10°C</t>
  </si>
  <si>
    <t xml:space="preserve">Cold storage – daily rate (CAD $/tonne/day)</t>
  </si>
  <si>
    <t xml:space="preserve">3 days average holding</t>
  </si>
  <si>
    <t xml:space="preserve">Avg. cold storage days</t>
  </si>
  <si>
    <t xml:space="preserve">Farm to truck</t>
  </si>
  <si>
    <t xml:space="preserve">Refrigerated transport (CAD $/km/tonne)</t>
  </si>
  <si>
    <t xml:space="preserve">Reefer truck, 180 km route</t>
  </si>
  <si>
    <t xml:space="preserve">LOGISTICS</t>
  </si>
  <si>
    <t xml:space="preserve">Fuel surcharge % on transport</t>
  </si>
  <si>
    <t xml:space="preserve">Canadian Trucking Alliance avg.</t>
  </si>
  <si>
    <t xml:space="preserve">Loading/unloading (CAD $/tonne)</t>
  </si>
  <si>
    <t xml:space="preserve">Unionised dock labour</t>
  </si>
  <si>
    <t xml:space="preserve">Toll &amp; highway fees (CAD $/tonne)</t>
  </si>
  <si>
    <t xml:space="preserve">407 ETR estimate</t>
  </si>
  <si>
    <t xml:space="preserve">Broker/commission fee %</t>
  </si>
  <si>
    <t xml:space="preserve">Wholesale market commission</t>
  </si>
  <si>
    <t xml:space="preserve">SPOILAGE</t>
  </si>
  <si>
    <t xml:space="preserve">Farm-level spoilage rate</t>
  </si>
  <si>
    <t xml:space="preserve">Defects, culls</t>
  </si>
  <si>
    <t xml:space="preserve">Transit spoilage rate</t>
  </si>
  <si>
    <t xml:space="preserve">Temperature excursions</t>
  </si>
  <si>
    <t xml:space="preserve">Market spoilage rate</t>
  </si>
  <si>
    <t xml:space="preserve">Unsold/rejected at buyer</t>
  </si>
  <si>
    <t xml:space="preserve">ADMIN &amp; OVERHEAD</t>
  </si>
  <si>
    <t xml:space="preserve">Insurance (CAD $/tonne)</t>
  </si>
  <si>
    <t xml:space="preserve">Crop + liability insurance</t>
  </si>
  <si>
    <t xml:space="preserve">Regulatory compliance (CAD $/tonne)</t>
  </si>
  <si>
    <t xml:space="preserve">CFIA, FSEP, Safe Food Canada</t>
  </si>
  <si>
    <t xml:space="preserve">Management overhead (CAD $/tonne)</t>
  </si>
  <si>
    <t xml:space="preserve">10% GM salary allocation</t>
  </si>
  <si>
    <t xml:space="preserve">Cost Item</t>
  </si>
  <si>
    <t xml:space="preserve">Notes / Formula Basis</t>
  </si>
  <si>
    <t xml:space="preserve">Seeds</t>
  </si>
  <si>
    <t xml:space="preserve">Sakata hybrid tomato seed, CAD $28/tonne output</t>
  </si>
  <si>
    <t xml:space="preserve">Fertilisers &amp; Soil Amendments</t>
  </si>
  <si>
    <t xml:space="preserve">NPK 20-10-20 + calcium nitrate foliar</t>
  </si>
  <si>
    <t xml:space="preserve">Irrigation Water</t>
  </si>
  <si>
    <t xml:space="preserve">Municipal water @ metered rate</t>
  </si>
  <si>
    <t xml:space="preserve">Pesticides &amp; Fungicides</t>
  </si>
  <si>
    <t xml:space="preserve">IPM programme – reduced chemical regime</t>
  </si>
  <si>
    <t xml:space="preserve">Greenhouse Energy (heating/lighting)</t>
  </si>
  <si>
    <t xml:space="preserve">Natural gas + LED supplemental lighting</t>
  </si>
  <si>
    <t xml:space="preserve">Growing Labour</t>
  </si>
  <si>
    <t xml:space="preserve">Seasonal workers, 8 hrs/day, CAD $17/hr</t>
  </si>
  <si>
    <t xml:space="preserve">Equipment Depreciation</t>
  </si>
  <si>
    <t xml:space="preserve">Tractors, irrigation pumps – 10-yr straight-line</t>
  </si>
  <si>
    <t xml:space="preserve">Land / Greenhouse Lease</t>
  </si>
  <si>
    <t xml:space="preserve">Leasehold charge allocated per tonne</t>
  </si>
  <si>
    <t xml:space="preserve">Crop Insurance Premium</t>
  </si>
  <si>
    <t xml:space="preserve">AgriInsurance – OMAFRA programme</t>
  </si>
  <si>
    <t xml:space="preserve">TOTAL – 1. Farm Input Costs</t>
  </si>
  <si>
    <t xml:space="preserve">Harvest Labour</t>
  </si>
  <si>
    <t xml:space="preserve">Hand-picking @ CAD $17/hr, 2.5 hrs/tonne</t>
  </si>
  <si>
    <t xml:space="preserve">Mechanical Harvesting Aids</t>
  </si>
  <si>
    <t xml:space="preserve">Platform trolleys, conveyor rental</t>
  </si>
  <si>
    <t xml:space="preserve">Grading &amp; Quality Inspection</t>
  </si>
  <si>
    <t xml:space="preserve">CFIA Grade A/B sorting line</t>
  </si>
  <si>
    <t xml:space="preserve">Packaging Materials</t>
  </si>
  <si>
    <t xml:space="preserve">20 kg clamshell, printed label, pallet wrap</t>
  </si>
  <si>
    <t xml:space="preserve">Packing Labour</t>
  </si>
  <si>
    <t xml:space="preserve">Packing line workers @ $17/hr</t>
  </si>
  <si>
    <t xml:space="preserve">Quality Sampling &amp; Lab Tests</t>
  </si>
  <si>
    <t xml:space="preserve">Pesticide residue + Brix tests</t>
  </si>
  <si>
    <t xml:space="preserve">Waste Disposal – culls</t>
  </si>
  <si>
    <t xml:space="preserve">Composting / landfill tipping fees</t>
  </si>
  <si>
    <t xml:space="preserve">TOTAL – 2. Harvesting &amp; Packing</t>
  </si>
  <si>
    <t xml:space="preserve">Pre-Cooling (forced-air to 10°C)</t>
  </si>
  <si>
    <t xml:space="preserve">Electricity + labour for cooling room</t>
  </si>
  <si>
    <t xml:space="preserve">Cold Storage – holding cost</t>
  </si>
  <si>
    <t xml:space="preserve">Rate × avg. days held</t>
  </si>
  <si>
    <t xml:space="preserve">Refrigerated Transport (reefer)</t>
  </si>
  <si>
    <t xml:space="preserve">CAD $/km × 180 km route</t>
  </si>
  <si>
    <t xml:space="preserve">Cold Chain Monitoring (IoT sensors)</t>
  </si>
  <si>
    <t xml:space="preserve">Temperature loggers + cloud platform</t>
  </si>
  <si>
    <t xml:space="preserve">Emergency Cold Storage (buffer)</t>
  </si>
  <si>
    <t xml:space="preserve">Overflow capacity @ third-party facility</t>
  </si>
  <si>
    <t xml:space="preserve">TOTAL – 3. Cold Chain &amp; Storage</t>
  </si>
  <si>
    <t xml:space="preserve">Base Freight Cost</t>
  </si>
  <si>
    <t xml:space="preserve">Rate × distance – see Cold Chain</t>
  </si>
  <si>
    <t xml:space="preserve">Fuel Surcharge</t>
  </si>
  <si>
    <t xml:space="preserve">FSC % × base freight</t>
  </si>
  <si>
    <t xml:space="preserve">Loading &amp; Unloading Labour</t>
  </si>
  <si>
    <t xml:space="preserve">Dock labour, unionised rate</t>
  </si>
  <si>
    <t xml:space="preserve">Toll &amp; Highway Fees</t>
  </si>
  <si>
    <t xml:space="preserve">407 ETR + 400-series highways</t>
  </si>
  <si>
    <t xml:space="preserve">Wholesale Broker Commission</t>
  </si>
  <si>
    <t xml:space="preserve">Commission % × selling price</t>
  </si>
  <si>
    <t xml:space="preserve">TOTAL – 4. Transport &amp; Logistics</t>
  </si>
  <si>
    <t xml:space="preserve">5. Spoilage &amp; Waste Losses</t>
  </si>
  <si>
    <t xml:space="preserve">Farm-level losses (culls, defects)</t>
  </si>
  <si>
    <t xml:space="preserve">Farm spoilage rate × selling price</t>
  </si>
  <si>
    <t xml:space="preserve">Transit losses (temperature/bruising)</t>
  </si>
  <si>
    <t xml:space="preserve">Transit spoilage rate × selling price</t>
  </si>
  <si>
    <t xml:space="preserve">Market/buyer rejection losses</t>
  </si>
  <si>
    <t xml:space="preserve">Market spoilage rate × selling price</t>
  </si>
  <si>
    <t xml:space="preserve">TOTAL – 5. Spoilage &amp; Waste Losses</t>
  </si>
  <si>
    <t xml:space="preserve">6. Administration &amp; Overheads</t>
  </si>
  <si>
    <t xml:space="preserve">Insurance (crop + liability)</t>
  </si>
  <si>
    <t xml:space="preserve">AgriCorp crop insurance + farm liability</t>
  </si>
  <si>
    <t xml:space="preserve">Regulatory &amp; Compliance</t>
  </si>
  <si>
    <t xml:space="preserve">CFIA, Safe Food for Canadians Act fees</t>
  </si>
  <si>
    <t xml:space="preserve">Management &amp; Administration</t>
  </si>
  <si>
    <t xml:space="preserve">GM salary + office overhead per tonne</t>
  </si>
  <si>
    <t xml:space="preserve">TOTAL – 6. Administration &amp; Overheads</t>
  </si>
  <si>
    <t xml:space="preserve">SCENARIO ANALYSIS – SENSITIVITY TABLE</t>
  </si>
  <si>
    <t xml:space="preserve">Change the selling price and spoilage rate to see impact on gross margin.</t>
  </si>
  <si>
    <t xml:space="preserve">Metric</t>
  </si>
  <si>
    <t xml:space="preserve">Base Case</t>
  </si>
  <si>
    <t xml:space="preserve">Scenario A
(Low Price)</t>
  </si>
  <si>
    <t xml:space="preserve">Scenario B
(High Spoilage)</t>
  </si>
  <si>
    <t xml:space="preserve">Scenario C
(Cost Increase)</t>
  </si>
  <si>
    <t xml:space="preserve">Scenario D
(Optimistic)</t>
  </si>
  <si>
    <t xml:space="preserve">Selling Price (CAD $/t)</t>
  </si>
  <si>
    <t xml:space="preserve">Total Supply Chain Cost (CAD $/t)</t>
  </si>
  <si>
    <t xml:space="preserve">Gross Margin (CAD $/t)</t>
  </si>
  <si>
    <t xml:space="preserve">HOW TO USE THIS TABLE</t>
  </si>
  <si>
    <t xml:space="preserve">• Scenario A: Price falls to CAD $800/t (poor harvest season / market glut) – observe margin compression.</t>
  </si>
  <si>
    <t xml:space="preserve">• Scenario B: Total costs rise 8% (higher fuel, labour) – models inflationary pressure on supply chain.</t>
  </si>
  <si>
    <t xml:space="preserve">• Scenario C: Full 12% cost shock (energy crisis / supply disruption) – stress-test of farm viability.</t>
  </si>
  <si>
    <t xml:space="preserve">• Scenario D: Optimistic – 5% cost reduction (efficiency gains, scale) with premium price point.</t>
  </si>
  <si>
    <t xml:space="preserve">• To add your own scenario: copy a column, change the blue input cells, and update the formulas.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</si>
</sst>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CAD $&quot;#,##0;&quot;(CAD $&quot;#,##0\);\-"/>
    <numFmt numFmtId="166" formatCode="0.0%;\(0.0%\);\-"/>
    <numFmt numFmtId="167" formatCode="&quot;CAD $&quot;#,##0;&quot;(CAD $&quot;#,##0\);\-"/>
    <numFmt numFmtId="168" formatCode="#,##0;\(#,##0\);\-"/>
    <numFmt numFmtId="169" formatCode="&quot;CAD $&quot;#,##0.00;&quot;(CAD $&quot;#,##0.00\);\-"/>
    <numFmt numFmtId="170" formatCode="&quot;CAD $&quot;#,##0.00"/>
    <numFmt numFmtId="171" formatCode="0.0%;\(0.0%\);\-"/>
    <numFmt numFmtId="172" formatCode="&quot;CAD $&quot;#,##0.00;&quot;(CAD 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45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3C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22"/>
    <col collapsed="false" customWidth="true" hidden="false" outlineLevel="0" max="6" min="6" style="1" width="3"/>
  </cols>
  <sheetData>
    <row r="1" customFormat="false" ht="7.5" hidden="false" customHeight="true" outlineLevel="0" collapsed="false"/>
    <row r="2" customFormat="false" ht="7.5" hidden="false" customHeight="true" outlineLevel="0" collapsed="false"/>
    <row r="3" customFormat="false" ht="7.5" hidden="false" customHeight="true" outlineLevel="0" collapsed="false"/>
    <row r="4" customFormat="false" ht="30" hidden="false" customHeight="true" outlineLevel="0" collapsed="false">
      <c r="B4" s="2" t="s">
        <v>0</v>
      </c>
      <c r="C4" s="2"/>
      <c r="D4" s="2"/>
      <c r="E4" s="2"/>
    </row>
    <row r="5" customFormat="false" ht="24" hidden="false" customHeight="true" outlineLevel="0" collapsed="false">
      <c r="B5" s="3" t="s">
        <v>1</v>
      </c>
      <c r="C5" s="3"/>
      <c r="D5" s="3"/>
      <c r="E5" s="3"/>
    </row>
    <row r="6" customFormat="false" ht="18" hidden="false" customHeight="true" outlineLevel="0" collapsed="false">
      <c r="B6" s="4" t="s">
        <v>2</v>
      </c>
      <c r="C6" s="4"/>
      <c r="D6" s="4"/>
      <c r="E6" s="4"/>
    </row>
    <row r="7" customFormat="false" ht="7.5" hidden="false" customHeight="true" outlineLevel="0" collapsed="false"/>
    <row r="8" customFormat="false" ht="7.5" hidden="false" customHeight="true" outlineLevel="0" collapsed="false"/>
    <row r="9" customFormat="false" ht="7.5" hidden="false" customHeight="true" outlineLevel="0" collapsed="false"/>
    <row r="10" customFormat="false" ht="19.5" hidden="false" customHeight="true" outlineLevel="0" collapsed="false">
      <c r="B10" s="5" t="s">
        <v>3</v>
      </c>
      <c r="C10" s="6" t="s">
        <v>4</v>
      </c>
    </row>
    <row r="11" customFormat="false" ht="19.5" hidden="false" customHeight="true" outlineLevel="0" collapsed="false">
      <c r="B11" s="5" t="s">
        <v>5</v>
      </c>
      <c r="C11" s="6" t="s">
        <v>6</v>
      </c>
    </row>
    <row r="12" customFormat="false" ht="19.5" hidden="false" customHeight="true" outlineLevel="0" collapsed="false">
      <c r="B12" s="5" t="s">
        <v>7</v>
      </c>
      <c r="C12" s="6" t="s">
        <v>8</v>
      </c>
    </row>
    <row r="13" customFormat="false" ht="19.5" hidden="false" customHeight="true" outlineLevel="0" collapsed="false">
      <c r="B13" s="5" t="s">
        <v>9</v>
      </c>
      <c r="C13" s="6" t="s">
        <v>10</v>
      </c>
    </row>
    <row r="14" customFormat="false" ht="19.5" hidden="false" customHeight="true" outlineLevel="0" collapsed="false">
      <c r="B14" s="5" t="s">
        <v>11</v>
      </c>
      <c r="C14" s="6" t="s">
        <v>12</v>
      </c>
    </row>
    <row r="15" customFormat="false" ht="12" hidden="false" customHeight="true" outlineLevel="0" collapsed="false"/>
    <row r="16" customFormat="false" ht="21.75" hidden="false" customHeight="true" outlineLevel="0" collapsed="false">
      <c r="B16" s="7" t="s">
        <v>13</v>
      </c>
      <c r="C16" s="7"/>
      <c r="D16" s="7"/>
      <c r="E16" s="7"/>
    </row>
    <row r="17" customFormat="false" ht="19.5" hidden="false" customHeight="true" outlineLevel="0" collapsed="false">
      <c r="B17" s="8" t="s">
        <v>14</v>
      </c>
      <c r="C17" s="8" t="s">
        <v>15</v>
      </c>
      <c r="D17" s="8" t="s">
        <v>16</v>
      </c>
      <c r="E17" s="8" t="s">
        <v>17</v>
      </c>
    </row>
    <row r="18" customFormat="false" ht="18" hidden="false" customHeight="true" outlineLevel="0" collapsed="false">
      <c r="B18" s="9" t="s">
        <v>18</v>
      </c>
      <c r="C18" s="10" t="n">
        <f aca="false">'Farm Inputs'!C28</f>
        <v>237.5</v>
      </c>
      <c r="D18" s="11" t="n">
        <f aca="false">IFERROR(C18/$C$24,0)</f>
        <v>0.365035304677678</v>
      </c>
      <c r="E18" s="12" t="s">
        <v>19</v>
      </c>
    </row>
    <row r="19" customFormat="false" ht="18" hidden="false" customHeight="true" outlineLevel="0" collapsed="false">
      <c r="B19" s="13" t="s">
        <v>20</v>
      </c>
      <c r="C19" s="14" t="n">
        <f aca="false">'Harvest &amp; Pack'!C20</f>
        <v>148</v>
      </c>
      <c r="D19" s="15" t="n">
        <f aca="false">IFERROR(C19/$C$24,0)</f>
        <v>0.227474631967563</v>
      </c>
      <c r="E19" s="16" t="s">
        <v>21</v>
      </c>
    </row>
    <row r="20" customFormat="false" ht="18" hidden="false" customHeight="true" outlineLevel="0" collapsed="false">
      <c r="B20" s="9" t="s">
        <v>22</v>
      </c>
      <c r="C20" s="10" t="n">
        <f aca="false">'Cold Chain'!C18</f>
        <v>100.9</v>
      </c>
      <c r="D20" s="11" t="n">
        <f aca="false">IFERROR(C20/$C$24,0)</f>
        <v>0.155082367334643</v>
      </c>
      <c r="E20" s="12" t="s">
        <v>23</v>
      </c>
    </row>
    <row r="21" customFormat="false" ht="18" hidden="false" customHeight="true" outlineLevel="0" collapsed="false">
      <c r="B21" s="13" t="s">
        <v>24</v>
      </c>
      <c r="C21" s="14" t="n">
        <f aca="false">Logistics!C16</f>
        <v>73.472</v>
      </c>
      <c r="D21" s="15" t="n">
        <f aca="false">IFERROR(C21/$C$24,0)</f>
        <v>0.11292578486433</v>
      </c>
      <c r="E21" s="16" t="s">
        <v>25</v>
      </c>
    </row>
    <row r="22" customFormat="false" ht="18" hidden="false" customHeight="true" outlineLevel="0" collapsed="false">
      <c r="B22" s="9" t="s">
        <v>26</v>
      </c>
      <c r="C22" s="10" t="n">
        <f aca="false">Spoilage!C14</f>
        <v>61.75</v>
      </c>
      <c r="D22" s="11" t="n">
        <f aca="false">IFERROR(C22/$C$24,0)</f>
        <v>0.0949091792161962</v>
      </c>
      <c r="E22" s="12" t="s">
        <v>27</v>
      </c>
    </row>
    <row r="23" customFormat="false" ht="18" hidden="false" customHeight="true" outlineLevel="0" collapsed="false">
      <c r="B23" s="13" t="s">
        <v>28</v>
      </c>
      <c r="C23" s="14" t="n">
        <f aca="false">Admin!C12</f>
        <v>29</v>
      </c>
      <c r="D23" s="15" t="n">
        <f aca="false">IFERROR(C23/$C$24,0)</f>
        <v>0.0445727319395901</v>
      </c>
      <c r="E23" s="16" t="s">
        <v>29</v>
      </c>
    </row>
    <row r="24" customFormat="false" ht="21.75" hidden="false" customHeight="true" outlineLevel="0" collapsed="false">
      <c r="B24" s="17" t="s">
        <v>30</v>
      </c>
      <c r="C24" s="18" t="n">
        <f aca="false">SUM(C18:C23)</f>
        <v>650.622</v>
      </c>
      <c r="D24" s="19" t="n">
        <v>1</v>
      </c>
      <c r="E24" s="20"/>
    </row>
    <row r="25" customFormat="false" ht="9.75" hidden="false" customHeight="true" outlineLevel="0" collapsed="false"/>
    <row r="26" customFormat="false" ht="19.5" hidden="false" customHeight="true" outlineLevel="0" collapsed="false">
      <c r="B26" s="5" t="s">
        <v>31</v>
      </c>
      <c r="C26" s="21" t="n">
        <f aca="false">Assumptions!C5</f>
        <v>950</v>
      </c>
    </row>
    <row r="27" customFormat="false" ht="19.5" hidden="false" customHeight="true" outlineLevel="0" collapsed="false">
      <c r="B27" s="5" t="s">
        <v>32</v>
      </c>
      <c r="C27" s="21" t="n">
        <f aca="false">C26-C24</f>
        <v>299.378</v>
      </c>
    </row>
    <row r="28" customFormat="false" ht="19.5" hidden="false" customHeight="true" outlineLevel="0" collapsed="false">
      <c r="B28" s="5" t="s">
        <v>33</v>
      </c>
      <c r="C28" s="22" t="n">
        <f aca="false">IFERROR((C26-C24)/C26,0)</f>
        <v>0.315134736842105</v>
      </c>
    </row>
  </sheetData>
  <mergeCells count="4">
    <mergeCell ref="B4:E4"/>
    <mergeCell ref="B5:E5"/>
    <mergeCell ref="B6:E6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27.75" hidden="false" customHeight="true" outlineLevel="0" collapsed="false">
      <c r="B1" s="23" t="s">
        <v>34</v>
      </c>
      <c r="C1" s="23"/>
      <c r="D1" s="23"/>
      <c r="E1" s="23"/>
    </row>
    <row r="2" customFormat="false" ht="18" hidden="false" customHeight="true" outlineLevel="0" collapsed="false">
      <c r="B2" s="24" t="s">
        <v>35</v>
      </c>
      <c r="C2" s="24"/>
      <c r="D2" s="24"/>
      <c r="E2" s="24"/>
    </row>
    <row r="4" customFormat="false" ht="19.5" hidden="false" customHeight="true" outlineLevel="0" collapsed="false">
      <c r="B4" s="25" t="s">
        <v>36</v>
      </c>
      <c r="C4" s="25"/>
      <c r="D4" s="25"/>
      <c r="E4" s="25"/>
    </row>
    <row r="5" customFormat="false" ht="18" hidden="false" customHeight="true" outlineLevel="0" collapsed="false">
      <c r="B5" s="26" t="s">
        <v>37</v>
      </c>
      <c r="C5" s="27" t="n">
        <v>950</v>
      </c>
      <c r="D5" s="28" t="s">
        <v>38</v>
      </c>
      <c r="E5" s="29" t="s">
        <v>39</v>
      </c>
    </row>
    <row r="6" customFormat="false" ht="18" hidden="false" customHeight="true" outlineLevel="0" collapsed="false">
      <c r="B6" s="26" t="s">
        <v>40</v>
      </c>
      <c r="C6" s="30" t="n">
        <v>500</v>
      </c>
      <c r="D6" s="28" t="s">
        <v>38</v>
      </c>
      <c r="E6" s="29" t="s">
        <v>41</v>
      </c>
    </row>
    <row r="7" customFormat="false" ht="18" hidden="false" customHeight="true" outlineLevel="0" collapsed="false">
      <c r="B7" s="26" t="s">
        <v>42</v>
      </c>
      <c r="C7" s="30" t="n">
        <v>180</v>
      </c>
      <c r="D7" s="28" t="s">
        <v>38</v>
      </c>
      <c r="E7" s="29" t="s">
        <v>43</v>
      </c>
    </row>
    <row r="9" customFormat="false" ht="19.5" hidden="false" customHeight="true" outlineLevel="0" collapsed="false">
      <c r="B9" s="25" t="s">
        <v>44</v>
      </c>
      <c r="C9" s="25"/>
      <c r="D9" s="25"/>
      <c r="E9" s="25"/>
    </row>
    <row r="10" customFormat="false" ht="18" hidden="false" customHeight="true" outlineLevel="0" collapsed="false">
      <c r="B10" s="26" t="s">
        <v>45</v>
      </c>
      <c r="C10" s="27" t="n">
        <v>28</v>
      </c>
      <c r="D10" s="28" t="s">
        <v>38</v>
      </c>
      <c r="E10" s="29" t="s">
        <v>46</v>
      </c>
    </row>
    <row r="11" customFormat="false" ht="18" hidden="false" customHeight="true" outlineLevel="0" collapsed="false">
      <c r="B11" s="26" t="s">
        <v>47</v>
      </c>
      <c r="C11" s="27" t="n">
        <v>45</v>
      </c>
      <c r="D11" s="28" t="s">
        <v>38</v>
      </c>
      <c r="E11" s="29" t="s">
        <v>48</v>
      </c>
    </row>
    <row r="12" customFormat="false" ht="18" hidden="false" customHeight="true" outlineLevel="0" collapsed="false">
      <c r="B12" s="26" t="s">
        <v>49</v>
      </c>
      <c r="C12" s="27" t="n">
        <v>12</v>
      </c>
      <c r="D12" s="28" t="s">
        <v>38</v>
      </c>
      <c r="E12" s="29" t="s">
        <v>50</v>
      </c>
    </row>
    <row r="13" customFormat="false" ht="18" hidden="false" customHeight="true" outlineLevel="0" collapsed="false">
      <c r="B13" s="26" t="s">
        <v>51</v>
      </c>
      <c r="C13" s="27" t="n">
        <v>60</v>
      </c>
      <c r="D13" s="28" t="s">
        <v>38</v>
      </c>
      <c r="E13" s="29" t="s">
        <v>52</v>
      </c>
    </row>
    <row r="15" customFormat="false" ht="19.5" hidden="false" customHeight="true" outlineLevel="0" collapsed="false">
      <c r="B15" s="25" t="s">
        <v>53</v>
      </c>
      <c r="C15" s="25"/>
      <c r="D15" s="25"/>
      <c r="E15" s="25"/>
    </row>
    <row r="16" customFormat="false" ht="18" hidden="false" customHeight="true" outlineLevel="0" collapsed="false">
      <c r="B16" s="26" t="s">
        <v>54</v>
      </c>
      <c r="C16" s="27" t="n">
        <v>35</v>
      </c>
      <c r="D16" s="28" t="s">
        <v>38</v>
      </c>
      <c r="E16" s="29" t="s">
        <v>55</v>
      </c>
    </row>
    <row r="17" customFormat="false" ht="18" hidden="false" customHeight="true" outlineLevel="0" collapsed="false">
      <c r="B17" s="26" t="s">
        <v>56</v>
      </c>
      <c r="C17" s="27" t="n">
        <v>22</v>
      </c>
      <c r="D17" s="28" t="s">
        <v>38</v>
      </c>
      <c r="E17" s="29" t="s">
        <v>57</v>
      </c>
    </row>
    <row r="18" customFormat="false" ht="18" hidden="false" customHeight="true" outlineLevel="0" collapsed="false">
      <c r="B18" s="26" t="s">
        <v>58</v>
      </c>
      <c r="C18" s="27" t="n">
        <v>10</v>
      </c>
      <c r="D18" s="28" t="s">
        <v>38</v>
      </c>
      <c r="E18" s="29" t="s">
        <v>59</v>
      </c>
    </row>
    <row r="20" customFormat="false" ht="19.5" hidden="false" customHeight="true" outlineLevel="0" collapsed="false">
      <c r="B20" s="25" t="s">
        <v>60</v>
      </c>
      <c r="C20" s="25"/>
      <c r="D20" s="25"/>
      <c r="E20" s="25"/>
    </row>
    <row r="21" customFormat="false" ht="18" hidden="false" customHeight="true" outlineLevel="0" collapsed="false">
      <c r="B21" s="26" t="s">
        <v>61</v>
      </c>
      <c r="C21" s="27" t="n">
        <v>18</v>
      </c>
      <c r="D21" s="28" t="s">
        <v>38</v>
      </c>
      <c r="E21" s="29" t="s">
        <v>62</v>
      </c>
    </row>
    <row r="22" customFormat="false" ht="18" hidden="false" customHeight="true" outlineLevel="0" collapsed="false">
      <c r="B22" s="26" t="s">
        <v>63</v>
      </c>
      <c r="C22" s="31" t="n">
        <v>2.5</v>
      </c>
      <c r="D22" s="28" t="s">
        <v>38</v>
      </c>
      <c r="E22" s="29" t="s">
        <v>64</v>
      </c>
    </row>
    <row r="23" customFormat="false" ht="18" hidden="false" customHeight="true" outlineLevel="0" collapsed="false">
      <c r="B23" s="26" t="s">
        <v>65</v>
      </c>
      <c r="C23" s="30" t="n">
        <v>3</v>
      </c>
      <c r="D23" s="28" t="s">
        <v>38</v>
      </c>
      <c r="E23" s="29" t="s">
        <v>66</v>
      </c>
    </row>
    <row r="24" customFormat="false" ht="18" hidden="false" customHeight="true" outlineLevel="0" collapsed="false">
      <c r="B24" s="26" t="s">
        <v>67</v>
      </c>
      <c r="C24" s="32" t="n">
        <v>0.38</v>
      </c>
      <c r="D24" s="28" t="s">
        <v>38</v>
      </c>
      <c r="E24" s="29" t="s">
        <v>68</v>
      </c>
    </row>
    <row r="26" customFormat="false" ht="19.5" hidden="false" customHeight="true" outlineLevel="0" collapsed="false">
      <c r="B26" s="25" t="s">
        <v>69</v>
      </c>
      <c r="C26" s="25"/>
      <c r="D26" s="25"/>
      <c r="E26" s="25"/>
    </row>
    <row r="27" customFormat="false" ht="18" hidden="false" customHeight="true" outlineLevel="0" collapsed="false">
      <c r="B27" s="26" t="s">
        <v>70</v>
      </c>
      <c r="C27" s="33" t="n">
        <v>0.08</v>
      </c>
      <c r="D27" s="28" t="s">
        <v>38</v>
      </c>
      <c r="E27" s="29" t="s">
        <v>71</v>
      </c>
    </row>
    <row r="28" customFormat="false" ht="18" hidden="false" customHeight="true" outlineLevel="0" collapsed="false">
      <c r="B28" s="26" t="s">
        <v>72</v>
      </c>
      <c r="C28" s="27" t="n">
        <v>14</v>
      </c>
      <c r="D28" s="28" t="s">
        <v>38</v>
      </c>
      <c r="E28" s="29" t="s">
        <v>73</v>
      </c>
    </row>
    <row r="29" customFormat="false" ht="18" hidden="false" customHeight="true" outlineLevel="0" collapsed="false">
      <c r="B29" s="26" t="s">
        <v>74</v>
      </c>
      <c r="C29" s="27" t="n">
        <v>4</v>
      </c>
      <c r="D29" s="28" t="s">
        <v>38</v>
      </c>
      <c r="E29" s="29" t="s">
        <v>75</v>
      </c>
    </row>
    <row r="30" customFormat="false" ht="18" hidden="false" customHeight="true" outlineLevel="0" collapsed="false">
      <c r="B30" s="26" t="s">
        <v>76</v>
      </c>
      <c r="C30" s="33" t="n">
        <v>0.05</v>
      </c>
      <c r="D30" s="28" t="s">
        <v>38</v>
      </c>
      <c r="E30" s="29" t="s">
        <v>77</v>
      </c>
    </row>
    <row r="32" customFormat="false" ht="19.5" hidden="false" customHeight="true" outlineLevel="0" collapsed="false">
      <c r="B32" s="25" t="s">
        <v>78</v>
      </c>
      <c r="C32" s="25"/>
      <c r="D32" s="25"/>
      <c r="E32" s="25"/>
    </row>
    <row r="33" customFormat="false" ht="18" hidden="false" customHeight="true" outlineLevel="0" collapsed="false">
      <c r="B33" s="26" t="s">
        <v>79</v>
      </c>
      <c r="C33" s="33" t="n">
        <v>0.03</v>
      </c>
      <c r="D33" s="28" t="s">
        <v>38</v>
      </c>
      <c r="E33" s="29" t="s">
        <v>80</v>
      </c>
    </row>
    <row r="34" customFormat="false" ht="18" hidden="false" customHeight="true" outlineLevel="0" collapsed="false">
      <c r="B34" s="26" t="s">
        <v>81</v>
      </c>
      <c r="C34" s="33" t="n">
        <v>0.02</v>
      </c>
      <c r="D34" s="28" t="s">
        <v>38</v>
      </c>
      <c r="E34" s="29" t="s">
        <v>82</v>
      </c>
    </row>
    <row r="35" customFormat="false" ht="18" hidden="false" customHeight="true" outlineLevel="0" collapsed="false">
      <c r="B35" s="26" t="s">
        <v>83</v>
      </c>
      <c r="C35" s="33" t="n">
        <v>0.015</v>
      </c>
      <c r="D35" s="28" t="s">
        <v>38</v>
      </c>
      <c r="E35" s="29" t="s">
        <v>84</v>
      </c>
    </row>
    <row r="37" customFormat="false" ht="19.5" hidden="false" customHeight="true" outlineLevel="0" collapsed="false">
      <c r="B37" s="25" t="s">
        <v>85</v>
      </c>
      <c r="C37" s="25"/>
      <c r="D37" s="25"/>
      <c r="E37" s="25"/>
    </row>
    <row r="38" customFormat="false" ht="18" hidden="false" customHeight="true" outlineLevel="0" collapsed="false">
      <c r="B38" s="26" t="s">
        <v>86</v>
      </c>
      <c r="C38" s="27" t="n">
        <v>8</v>
      </c>
      <c r="D38" s="28" t="s">
        <v>38</v>
      </c>
      <c r="E38" s="29" t="s">
        <v>87</v>
      </c>
    </row>
    <row r="39" customFormat="false" ht="18" hidden="false" customHeight="true" outlineLevel="0" collapsed="false">
      <c r="B39" s="26" t="s">
        <v>88</v>
      </c>
      <c r="C39" s="27" t="n">
        <v>6</v>
      </c>
      <c r="D39" s="28" t="s">
        <v>38</v>
      </c>
      <c r="E39" s="29" t="s">
        <v>89</v>
      </c>
    </row>
    <row r="40" customFormat="false" ht="18" hidden="false" customHeight="true" outlineLevel="0" collapsed="false">
      <c r="B40" s="26" t="s">
        <v>90</v>
      </c>
      <c r="C40" s="27" t="n">
        <v>15</v>
      </c>
      <c r="D40" s="28" t="s">
        <v>38</v>
      </c>
      <c r="E40" s="29" t="s">
        <v>91</v>
      </c>
    </row>
  </sheetData>
  <mergeCells count="9">
    <mergeCell ref="B1:E1"/>
    <mergeCell ref="B2:E2"/>
    <mergeCell ref="B4:E4"/>
    <mergeCell ref="B9:E9"/>
    <mergeCell ref="B15:E15"/>
    <mergeCell ref="B20:E20"/>
    <mergeCell ref="B26:E26"/>
    <mergeCell ref="B32:E32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18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94</v>
      </c>
      <c r="C3" s="35" t="n">
        <f aca="false">Assumptions!C10</f>
        <v>28</v>
      </c>
      <c r="D3" s="36" t="n">
        <f aca="false">IFERROR(C3/$C$28,0)</f>
        <v>0.117894736842105</v>
      </c>
      <c r="E3" s="12" t="s">
        <v>95</v>
      </c>
    </row>
    <row r="4" customFormat="false" ht="18" hidden="false" customHeight="true" outlineLevel="0" collapsed="false">
      <c r="B4" s="13" t="s">
        <v>96</v>
      </c>
      <c r="C4" s="37" t="n">
        <f aca="false">Assumptions!C11</f>
        <v>45</v>
      </c>
      <c r="D4" s="38" t="n">
        <f aca="false">IFERROR(C4/$C$28,0)</f>
        <v>0.189473684210526</v>
      </c>
      <c r="E4" s="16" t="s">
        <v>97</v>
      </c>
    </row>
    <row r="5" customFormat="false" ht="18" hidden="false" customHeight="true" outlineLevel="0" collapsed="false">
      <c r="B5" s="9" t="s">
        <v>98</v>
      </c>
      <c r="C5" s="35" t="n">
        <f aca="false">Assumptions!C12</f>
        <v>12</v>
      </c>
      <c r="D5" s="36" t="n">
        <f aca="false">IFERROR(C5/$C$28,0)</f>
        <v>0.0505263157894737</v>
      </c>
      <c r="E5" s="12" t="s">
        <v>99</v>
      </c>
    </row>
    <row r="6" customFormat="false" ht="18" hidden="false" customHeight="true" outlineLevel="0" collapsed="false">
      <c r="B6" s="13" t="s">
        <v>100</v>
      </c>
      <c r="C6" s="39" t="n">
        <f aca="false">15</f>
        <v>15</v>
      </c>
      <c r="D6" s="38" t="n">
        <f aca="false">IFERROR(C6/$C$28,0)</f>
        <v>0.0631578947368421</v>
      </c>
      <c r="E6" s="16" t="s">
        <v>101</v>
      </c>
    </row>
    <row r="7" customFormat="false" ht="18" hidden="false" customHeight="true" outlineLevel="0" collapsed="false">
      <c r="B7" s="9" t="s">
        <v>102</v>
      </c>
      <c r="C7" s="40" t="n">
        <f aca="false">32</f>
        <v>32</v>
      </c>
      <c r="D7" s="36" t="n">
        <f aca="false">IFERROR(C7/$C$28,0)</f>
        <v>0.134736842105263</v>
      </c>
      <c r="E7" s="12" t="s">
        <v>103</v>
      </c>
    </row>
    <row r="8" customFormat="false" ht="18" hidden="false" customHeight="true" outlineLevel="0" collapsed="false">
      <c r="B8" s="13" t="s">
        <v>104</v>
      </c>
      <c r="C8" s="37" t="n">
        <f aca="false">Assumptions!C13</f>
        <v>60</v>
      </c>
      <c r="D8" s="38" t="n">
        <f aca="false">IFERROR(C8/$C$28,0)</f>
        <v>0.252631578947368</v>
      </c>
      <c r="E8" s="16" t="s">
        <v>105</v>
      </c>
    </row>
    <row r="9" customFormat="false" ht="18" hidden="false" customHeight="true" outlineLevel="0" collapsed="false">
      <c r="B9" s="9" t="s">
        <v>106</v>
      </c>
      <c r="C9" s="40" t="n">
        <f aca="false">18</f>
        <v>18</v>
      </c>
      <c r="D9" s="36" t="n">
        <f aca="false">IFERROR(C9/$C$28,0)</f>
        <v>0.0757894736842105</v>
      </c>
      <c r="E9" s="12" t="s">
        <v>107</v>
      </c>
    </row>
    <row r="10" customFormat="false" ht="18" hidden="false" customHeight="true" outlineLevel="0" collapsed="false">
      <c r="B10" s="13" t="s">
        <v>108</v>
      </c>
      <c r="C10" s="39" t="n">
        <f aca="false">25</f>
        <v>25</v>
      </c>
      <c r="D10" s="38" t="n">
        <f aca="false">IFERROR(C10/$C$28,0)</f>
        <v>0.105263157894737</v>
      </c>
      <c r="E10" s="16" t="s">
        <v>109</v>
      </c>
    </row>
    <row r="11" customFormat="false" ht="18" hidden="false" customHeight="true" outlineLevel="0" collapsed="false">
      <c r="B11" s="9" t="s">
        <v>110</v>
      </c>
      <c r="C11" s="40" t="n">
        <f aca="false">Assumptions!C22</f>
        <v>2.5</v>
      </c>
      <c r="D11" s="36" t="n">
        <f aca="false">IFERROR(C11/$C$28,0)</f>
        <v>0.0105263157894737</v>
      </c>
      <c r="E11" s="12" t="s">
        <v>111</v>
      </c>
    </row>
    <row r="28" customFormat="false" ht="21.75" hidden="false" customHeight="true" outlineLevel="0" collapsed="false">
      <c r="B28" s="17" t="s">
        <v>112</v>
      </c>
      <c r="C28" s="41" t="n">
        <f aca="false">SUM(C3:C27)</f>
        <v>237.5</v>
      </c>
      <c r="D28" s="42" t="n">
        <v>1</v>
      </c>
      <c r="E28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20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113</v>
      </c>
      <c r="C3" s="35" t="n">
        <f aca="false">Assumptions!C16</f>
        <v>35</v>
      </c>
      <c r="D3" s="36" t="n">
        <f aca="false">IFERROR(C3/$C$20,0)</f>
        <v>0.236486486486486</v>
      </c>
      <c r="E3" s="12" t="s">
        <v>114</v>
      </c>
    </row>
    <row r="4" customFormat="false" ht="18" hidden="false" customHeight="true" outlineLevel="0" collapsed="false">
      <c r="B4" s="13" t="s">
        <v>115</v>
      </c>
      <c r="C4" s="37" t="n">
        <f aca="false">Assumptions!C17</f>
        <v>22</v>
      </c>
      <c r="D4" s="38" t="n">
        <f aca="false">IFERROR(C4/$C$20,0)</f>
        <v>0.148648648648649</v>
      </c>
      <c r="E4" s="16" t="s">
        <v>116</v>
      </c>
    </row>
    <row r="5" customFormat="false" ht="18" hidden="false" customHeight="true" outlineLevel="0" collapsed="false">
      <c r="B5" s="9" t="s">
        <v>117</v>
      </c>
      <c r="C5" s="35" t="n">
        <f aca="false">Assumptions!C18</f>
        <v>10</v>
      </c>
      <c r="D5" s="36" t="n">
        <f aca="false">IFERROR(C5/$C$20,0)</f>
        <v>0.0675675675675676</v>
      </c>
      <c r="E5" s="12" t="s">
        <v>118</v>
      </c>
    </row>
    <row r="6" customFormat="false" ht="18" hidden="false" customHeight="true" outlineLevel="0" collapsed="false">
      <c r="B6" s="13" t="s">
        <v>119</v>
      </c>
      <c r="C6" s="39" t="n">
        <f aca="false">Assumptions!C13</f>
        <v>60</v>
      </c>
      <c r="D6" s="38" t="n">
        <f aca="false">IFERROR(C6/$C$20,0)</f>
        <v>0.405405405405405</v>
      </c>
      <c r="E6" s="16" t="s">
        <v>120</v>
      </c>
    </row>
    <row r="7" customFormat="false" ht="18" hidden="false" customHeight="true" outlineLevel="0" collapsed="false">
      <c r="B7" s="9" t="s">
        <v>121</v>
      </c>
      <c r="C7" s="40" t="n">
        <f aca="false">12</f>
        <v>12</v>
      </c>
      <c r="D7" s="36" t="n">
        <f aca="false">IFERROR(C7/$C$20,0)</f>
        <v>0.0810810810810811</v>
      </c>
      <c r="E7" s="12" t="s">
        <v>122</v>
      </c>
    </row>
    <row r="8" customFormat="false" ht="18" hidden="false" customHeight="true" outlineLevel="0" collapsed="false">
      <c r="B8" s="13" t="s">
        <v>123</v>
      </c>
      <c r="C8" s="39" t="n">
        <f aca="false">5</f>
        <v>5</v>
      </c>
      <c r="D8" s="38" t="n">
        <f aca="false">IFERROR(C8/$C$20,0)</f>
        <v>0.0337837837837838</v>
      </c>
      <c r="E8" s="16" t="s">
        <v>124</v>
      </c>
    </row>
    <row r="9" customFormat="false" ht="18" hidden="false" customHeight="true" outlineLevel="0" collapsed="false">
      <c r="B9" s="9" t="s">
        <v>125</v>
      </c>
      <c r="C9" s="40" t="n">
        <f aca="false">4</f>
        <v>4</v>
      </c>
      <c r="D9" s="36" t="n">
        <f aca="false">IFERROR(C9/$C$20,0)</f>
        <v>0.027027027027027</v>
      </c>
      <c r="E9" s="12" t="s">
        <v>126</v>
      </c>
    </row>
    <row r="20" customFormat="false" ht="21.75" hidden="false" customHeight="true" outlineLevel="0" collapsed="false">
      <c r="B20" s="17" t="s">
        <v>127</v>
      </c>
      <c r="C20" s="41" t="n">
        <f aca="false">SUM(C3:C19)</f>
        <v>148</v>
      </c>
      <c r="D20" s="42" t="n">
        <v>1</v>
      </c>
      <c r="E20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22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128</v>
      </c>
      <c r="C3" s="35" t="n">
        <f aca="false">Assumptions!C21</f>
        <v>18</v>
      </c>
      <c r="D3" s="36" t="n">
        <f aca="false">IFERROR(C3/$C$18,0)</f>
        <v>0.178394449950446</v>
      </c>
      <c r="E3" s="12" t="s">
        <v>129</v>
      </c>
    </row>
    <row r="4" customFormat="false" ht="18" hidden="false" customHeight="true" outlineLevel="0" collapsed="false">
      <c r="B4" s="13" t="s">
        <v>130</v>
      </c>
      <c r="C4" s="37" t="n">
        <f aca="false">Assumptions!C22*Assumptions!C23</f>
        <v>7.5</v>
      </c>
      <c r="D4" s="38" t="n">
        <f aca="false">IFERROR(C4/$C$18,0)</f>
        <v>0.0743310208126858</v>
      </c>
      <c r="E4" s="16" t="s">
        <v>131</v>
      </c>
    </row>
    <row r="5" customFormat="false" ht="18" hidden="false" customHeight="true" outlineLevel="0" collapsed="false">
      <c r="B5" s="9" t="s">
        <v>132</v>
      </c>
      <c r="C5" s="35" t="n">
        <f aca="false">Assumptions!C24*Assumptions!C7</f>
        <v>68.4</v>
      </c>
      <c r="D5" s="36" t="n">
        <f aca="false">IFERROR(C5/$C$18,0)</f>
        <v>0.677898909811695</v>
      </c>
      <c r="E5" s="12" t="s">
        <v>133</v>
      </c>
    </row>
    <row r="6" customFormat="false" ht="18" hidden="false" customHeight="true" outlineLevel="0" collapsed="false">
      <c r="B6" s="13" t="s">
        <v>134</v>
      </c>
      <c r="C6" s="39" t="n">
        <f aca="false">3</f>
        <v>3</v>
      </c>
      <c r="D6" s="38" t="n">
        <f aca="false">IFERROR(C6/$C$18,0)</f>
        <v>0.0297324083250743</v>
      </c>
      <c r="E6" s="16" t="s">
        <v>135</v>
      </c>
    </row>
    <row r="7" customFormat="false" ht="18" hidden="false" customHeight="true" outlineLevel="0" collapsed="false">
      <c r="B7" s="9" t="s">
        <v>136</v>
      </c>
      <c r="C7" s="40" t="n">
        <f aca="false">4</f>
        <v>4</v>
      </c>
      <c r="D7" s="36" t="n">
        <f aca="false">IFERROR(C7/$C$18,0)</f>
        <v>0.0396432111000991</v>
      </c>
      <c r="E7" s="12" t="s">
        <v>137</v>
      </c>
    </row>
    <row r="18" customFormat="false" ht="21.75" hidden="false" customHeight="true" outlineLevel="0" collapsed="false">
      <c r="B18" s="17" t="s">
        <v>138</v>
      </c>
      <c r="C18" s="41" t="n">
        <f aca="false">SUM(C3:C17)</f>
        <v>100.9</v>
      </c>
      <c r="D18" s="42" t="n">
        <v>1</v>
      </c>
      <c r="E18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24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139</v>
      </c>
      <c r="C3" s="40" t="n">
        <f aca="false">Assumptions!C19*Assumptions!C3</f>
        <v>0</v>
      </c>
      <c r="D3" s="36" t="n">
        <f aca="false">IFERROR(C3/$C$16,0)</f>
        <v>0</v>
      </c>
      <c r="E3" s="12" t="s">
        <v>140</v>
      </c>
    </row>
    <row r="4" customFormat="false" ht="18" hidden="false" customHeight="true" outlineLevel="0" collapsed="false">
      <c r="B4" s="13" t="s">
        <v>141</v>
      </c>
      <c r="C4" s="37" t="n">
        <f aca="false">Assumptions!C27*(Assumptions!C24*Assumptions!C7)</f>
        <v>5.472</v>
      </c>
      <c r="D4" s="38" t="n">
        <f aca="false">IFERROR(C4/$C$16,0)</f>
        <v>0.0744773519163763</v>
      </c>
      <c r="E4" s="16" t="s">
        <v>142</v>
      </c>
    </row>
    <row r="5" customFormat="false" ht="18" hidden="false" customHeight="true" outlineLevel="0" collapsed="false">
      <c r="B5" s="9" t="s">
        <v>143</v>
      </c>
      <c r="C5" s="40" t="n">
        <f aca="false">Assumptions!C21</f>
        <v>18</v>
      </c>
      <c r="D5" s="36" t="n">
        <f aca="false">IFERROR(C5/$C$16,0)</f>
        <v>0.244991289198606</v>
      </c>
      <c r="E5" s="12" t="s">
        <v>144</v>
      </c>
    </row>
    <row r="6" customFormat="false" ht="18" hidden="false" customHeight="true" outlineLevel="0" collapsed="false">
      <c r="B6" s="13" t="s">
        <v>145</v>
      </c>
      <c r="C6" s="39" t="n">
        <f aca="false">Assumptions!C22</f>
        <v>2.5</v>
      </c>
      <c r="D6" s="38" t="n">
        <f aca="false">IFERROR(C6/$C$16,0)</f>
        <v>0.0340265679442509</v>
      </c>
      <c r="E6" s="16" t="s">
        <v>146</v>
      </c>
    </row>
    <row r="7" customFormat="false" ht="18" hidden="false" customHeight="true" outlineLevel="0" collapsed="false">
      <c r="B7" s="9" t="s">
        <v>147</v>
      </c>
      <c r="C7" s="35" t="n">
        <f aca="false">Assumptions!C30*Assumptions!C5</f>
        <v>47.5</v>
      </c>
      <c r="D7" s="36" t="n">
        <f aca="false">IFERROR(C7/$C$16,0)</f>
        <v>0.646504790940767</v>
      </c>
      <c r="E7" s="12" t="s">
        <v>148</v>
      </c>
    </row>
    <row r="16" customFormat="false" ht="21.75" hidden="false" customHeight="true" outlineLevel="0" collapsed="false">
      <c r="B16" s="17" t="s">
        <v>149</v>
      </c>
      <c r="C16" s="41" t="n">
        <f aca="false">SUM(C3:C15)</f>
        <v>73.472</v>
      </c>
      <c r="D16" s="42" t="n">
        <v>1</v>
      </c>
      <c r="E16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150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151</v>
      </c>
      <c r="C3" s="35" t="n">
        <f aca="false">Assumptions!C33*Assumptions!C5</f>
        <v>28.5</v>
      </c>
      <c r="D3" s="11" t="n">
        <f aca="false">IFERROR(C3/$C$6,0)</f>
        <v>0</v>
      </c>
      <c r="E3" s="12" t="s">
        <v>152</v>
      </c>
    </row>
    <row r="4" customFormat="false" ht="18" hidden="false" customHeight="true" outlineLevel="0" collapsed="false">
      <c r="B4" s="13" t="s">
        <v>153</v>
      </c>
      <c r="C4" s="37" t="n">
        <f aca="false">Assumptions!C34*Assumptions!C5</f>
        <v>19</v>
      </c>
      <c r="D4" s="15" t="n">
        <f aca="false">IFERROR(C4/$C$6,0)</f>
        <v>0</v>
      </c>
      <c r="E4" s="16" t="s">
        <v>154</v>
      </c>
    </row>
    <row r="5" customFormat="false" ht="18" hidden="false" customHeight="true" outlineLevel="0" collapsed="false">
      <c r="B5" s="9" t="s">
        <v>155</v>
      </c>
      <c r="C5" s="35" t="n">
        <f aca="false">Assumptions!C35*Assumptions!C5</f>
        <v>14.25</v>
      </c>
      <c r="D5" s="11" t="n">
        <f aca="false">IFERROR(C5/$C$6,0)</f>
        <v>0</v>
      </c>
      <c r="E5" s="12" t="s">
        <v>156</v>
      </c>
    </row>
    <row r="14" customFormat="false" ht="21.75" hidden="false" customHeight="true" outlineLevel="0" collapsed="false">
      <c r="B14" s="17" t="s">
        <v>157</v>
      </c>
      <c r="C14" s="41" t="n">
        <f aca="false">SUM(C3:C13)</f>
        <v>61.75</v>
      </c>
      <c r="D14" s="42" t="n">
        <v>1</v>
      </c>
      <c r="E14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</cols>
  <sheetData>
    <row r="1" customFormat="false" ht="27.75" hidden="false" customHeight="true" outlineLevel="0" collapsed="false">
      <c r="B1" s="23" t="s">
        <v>158</v>
      </c>
      <c r="C1" s="23"/>
      <c r="D1" s="23"/>
      <c r="E1" s="23"/>
    </row>
    <row r="2" customFormat="false" ht="19.5" hidden="false" customHeight="true" outlineLevel="0" collapsed="false">
      <c r="B2" s="34" t="s">
        <v>92</v>
      </c>
      <c r="C2" s="34" t="s">
        <v>15</v>
      </c>
      <c r="D2" s="34" t="s">
        <v>16</v>
      </c>
      <c r="E2" s="34" t="s">
        <v>93</v>
      </c>
    </row>
    <row r="3" customFormat="false" ht="18" hidden="false" customHeight="true" outlineLevel="0" collapsed="false">
      <c r="B3" s="9" t="s">
        <v>159</v>
      </c>
      <c r="C3" s="35" t="n">
        <f aca="false">Assumptions!C38</f>
        <v>8</v>
      </c>
      <c r="D3" s="36" t="n">
        <f aca="false">IFERROR(C3/$C$12,0)</f>
        <v>0.275862068965517</v>
      </c>
      <c r="E3" s="12" t="s">
        <v>160</v>
      </c>
    </row>
    <row r="4" customFormat="false" ht="18" hidden="false" customHeight="true" outlineLevel="0" collapsed="false">
      <c r="B4" s="13" t="s">
        <v>161</v>
      </c>
      <c r="C4" s="37" t="n">
        <f aca="false">Assumptions!C39</f>
        <v>6</v>
      </c>
      <c r="D4" s="38" t="n">
        <f aca="false">IFERROR(C4/$C$12,0)</f>
        <v>0.206896551724138</v>
      </c>
      <c r="E4" s="16" t="s">
        <v>162</v>
      </c>
    </row>
    <row r="5" customFormat="false" ht="18" hidden="false" customHeight="true" outlineLevel="0" collapsed="false">
      <c r="B5" s="9" t="s">
        <v>163</v>
      </c>
      <c r="C5" s="35" t="n">
        <f aca="false">Assumptions!C40</f>
        <v>15</v>
      </c>
      <c r="D5" s="36" t="n">
        <f aca="false">IFERROR(C5/$C$12,0)</f>
        <v>0.517241379310345</v>
      </c>
      <c r="E5" s="12" t="s">
        <v>164</v>
      </c>
    </row>
    <row r="12" customFormat="false" ht="21.75" hidden="false" customHeight="true" outlineLevel="0" collapsed="false">
      <c r="B12" s="17" t="s">
        <v>165</v>
      </c>
      <c r="C12" s="41" t="n">
        <f aca="false">SUM(C3:C11)</f>
        <v>29</v>
      </c>
      <c r="D12" s="42" t="n">
        <v>1</v>
      </c>
      <c r="E12" s="20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8"/>
  </cols>
  <sheetData>
    <row r="1" customFormat="false" ht="27.75" hidden="false" customHeight="true" outlineLevel="0" collapsed="false">
      <c r="B1" s="23" t="s">
        <v>166</v>
      </c>
      <c r="C1" s="23"/>
      <c r="D1" s="23"/>
      <c r="E1" s="23"/>
      <c r="F1" s="23"/>
      <c r="G1" s="23"/>
    </row>
    <row r="2" customFormat="false" ht="15.75" hidden="false" customHeight="true" outlineLevel="0" collapsed="false">
      <c r="B2" s="24" t="s">
        <v>167</v>
      </c>
      <c r="C2" s="24"/>
      <c r="D2" s="24"/>
      <c r="E2" s="24"/>
      <c r="F2" s="24"/>
      <c r="G2" s="24"/>
    </row>
    <row r="4" customFormat="false" ht="31.5" hidden="false" customHeight="true" outlineLevel="0" collapsed="false">
      <c r="B4" s="34" t="s">
        <v>168</v>
      </c>
      <c r="C4" s="34" t="s">
        <v>169</v>
      </c>
      <c r="D4" s="34" t="s">
        <v>170</v>
      </c>
      <c r="E4" s="34" t="s">
        <v>171</v>
      </c>
      <c r="F4" s="34" t="s">
        <v>172</v>
      </c>
      <c r="G4" s="34" t="s">
        <v>173</v>
      </c>
    </row>
    <row r="5" customFormat="false" ht="19.5" hidden="false" customHeight="true" outlineLevel="0" collapsed="false">
      <c r="B5" s="9" t="s">
        <v>174</v>
      </c>
      <c r="C5" s="10" t="n">
        <f aca="false">Assumptions!C5</f>
        <v>950</v>
      </c>
      <c r="D5" s="21" t="n">
        <v>800</v>
      </c>
      <c r="E5" s="43" t="n">
        <f aca="false">Assumptions!C5</f>
        <v>950</v>
      </c>
      <c r="F5" s="21" t="n">
        <v>1000</v>
      </c>
      <c r="G5" s="21" t="n">
        <v>1050</v>
      </c>
    </row>
    <row r="6" customFormat="false" ht="19.5" hidden="false" customHeight="true" outlineLevel="0" collapsed="false">
      <c r="B6" s="13" t="s">
        <v>175</v>
      </c>
      <c r="C6" s="14" t="n">
        <f aca="false">Cover!C24</f>
        <v>650.622</v>
      </c>
      <c r="D6" s="14" t="n">
        <f aca="false">Cover!C24</f>
        <v>650.622</v>
      </c>
      <c r="E6" s="14" t="n">
        <f aca="false">Cover!C24*1.08</f>
        <v>702.67176</v>
      </c>
      <c r="F6" s="14" t="n">
        <f aca="false">Cover!C24*1.12</f>
        <v>728.69664</v>
      </c>
      <c r="G6" s="14" t="n">
        <f aca="false">Cover!C24*0.95</f>
        <v>618.0909</v>
      </c>
    </row>
    <row r="7" customFormat="false" ht="19.5" hidden="false" customHeight="true" outlineLevel="0" collapsed="false">
      <c r="B7" s="9" t="s">
        <v>176</v>
      </c>
      <c r="C7" s="10" t="n">
        <f aca="false">C5-C6</f>
        <v>299.378</v>
      </c>
      <c r="D7" s="44" t="n">
        <f aca="false">D5-D6</f>
        <v>149.378</v>
      </c>
      <c r="E7" s="44" t="n">
        <f aca="false">E5-E6</f>
        <v>247.32824</v>
      </c>
      <c r="F7" s="44" t="n">
        <f aca="false">F5-F6</f>
        <v>271.30336</v>
      </c>
      <c r="G7" s="44" t="n">
        <f aca="false">G5-G6</f>
        <v>431.9091</v>
      </c>
    </row>
    <row r="8" customFormat="false" ht="19.5" hidden="false" customHeight="true" outlineLevel="0" collapsed="false">
      <c r="B8" s="13" t="s">
        <v>33</v>
      </c>
      <c r="C8" s="15" t="n">
        <f aca="false">IFERROR(C7/C5,0)</f>
        <v>0.315134736842105</v>
      </c>
      <c r="D8" s="45" t="n">
        <f aca="false">IFERROR(D7/D5,0)</f>
        <v>0.1867225</v>
      </c>
      <c r="E8" s="45" t="n">
        <f aca="false">IFERROR(E7/E5,0)</f>
        <v>0.260345515789474</v>
      </c>
      <c r="F8" s="45" t="n">
        <f aca="false">IFERROR(F7/F5,0)</f>
        <v>0.27130336</v>
      </c>
      <c r="G8" s="45" t="n">
        <f aca="false">IFERROR(G7/G5,0)</f>
        <v>0.411342</v>
      </c>
    </row>
    <row r="10" customFormat="false" ht="13.5" hidden="false" customHeight="true" outlineLevel="0" collapsed="false"/>
    <row r="11" customFormat="false" ht="15" hidden="false" customHeight="true" outlineLevel="0" collapsed="false">
      <c r="B11" s="25" t="s">
        <v>177</v>
      </c>
      <c r="C11" s="25"/>
      <c r="D11" s="25"/>
      <c r="E11" s="25"/>
      <c r="F11" s="25"/>
      <c r="G11" s="25"/>
    </row>
    <row r="12" customFormat="false" ht="18" hidden="false" customHeight="true" outlineLevel="0" collapsed="false">
      <c r="B12" s="46" t="s">
        <v>178</v>
      </c>
      <c r="C12" s="46"/>
      <c r="D12" s="46"/>
      <c r="E12" s="46"/>
      <c r="F12" s="46"/>
      <c r="G12" s="46"/>
    </row>
    <row r="13" customFormat="false" ht="18" hidden="false" customHeight="true" outlineLevel="0" collapsed="false">
      <c r="B13" s="46" t="s">
        <v>179</v>
      </c>
      <c r="C13" s="46"/>
      <c r="D13" s="46"/>
      <c r="E13" s="46"/>
      <c r="F13" s="46"/>
      <c r="G13" s="46"/>
    </row>
    <row r="14" customFormat="false" ht="18" hidden="false" customHeight="true" outlineLevel="0" collapsed="false">
      <c r="B14" s="46" t="s">
        <v>180</v>
      </c>
      <c r="C14" s="46"/>
      <c r="D14" s="46"/>
      <c r="E14" s="46"/>
      <c r="F14" s="46"/>
      <c r="G14" s="46"/>
    </row>
    <row r="15" customFormat="false" ht="18" hidden="false" customHeight="true" outlineLevel="0" collapsed="false">
      <c r="B15" s="46" t="s">
        <v>181</v>
      </c>
      <c r="C15" s="46"/>
      <c r="D15" s="46"/>
      <c r="E15" s="46"/>
      <c r="F15" s="46"/>
      <c r="G15" s="46"/>
    </row>
    <row r="16" customFormat="false" ht="18" hidden="false" customHeight="true" outlineLevel="0" collapsed="false">
      <c r="B16" s="46" t="s">
        <v>182</v>
      </c>
      <c r="C16" s="46"/>
      <c r="D16" s="46"/>
      <c r="E16" s="46"/>
      <c r="F16" s="46"/>
      <c r="G16" s="46"/>
    </row>
  </sheetData>
  <mergeCells count="8">
    <mergeCell ref="B1:G1"/>
    <mergeCell ref="B2:G2"/>
    <mergeCell ref="B11:G11"/>
    <mergeCell ref="B12:G12"/>
    <mergeCell ref="B13:G13"/>
    <mergeCell ref="B14:G14"/>
    <mergeCell ref="B15:G15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2026-06-18T10:04:07Z</dcterms:created>
  <dc:creator>openpyxl</dc:creator>
  <dc:description/>
  <dc:language>en-US</dc:language>
  <cp:lastModifiedBy/>
  <dcterms:modified xsi:type="dcterms:W3CDTF">2026-06-18T10:05:54Z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
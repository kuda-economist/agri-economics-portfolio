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udakwashe\Documents\kk\FOR KUDA\Agric Economic Analyst - Canada\"/>
    </mc:Choice>
  </mc:AlternateContent>
  <xr:revisionPtr revIDLastSave="0" documentId="13_ncr:1_{8E7AE8F0-AB27-4B69-9D48-86DBD567D84D}" xr6:coauthVersionLast="47" xr6:coauthVersionMax="47" xr10:uidLastSave="{00000000-0000-0000-0000-000000000000}"/>
  <bookViews>
    <workbookView xWindow="-120" yWindow="-120" windowWidth="20730" windowHeight="11160" tabRatio="500" firstSheet="3" activeTab="5" xr2:uid="{00000000-000D-0000-FFFF-FFFF00000000}"/>
  </bookViews>
  <sheets>
    <sheet name="Assumptions" sheetId="1" r:id="rId1"/>
    <sheet name="Enterprise Budget" sheetId="2" r:id="rId2"/>
    <sheet name="Cash Flow Budget" sheetId="3" r:id="rId3"/>
    <sheet name="Break-Even Analysis" sheetId="4" r:id="rId4"/>
    <sheet name="Partial Budget" sheetId="5" r:id="rId5"/>
    <sheet name="5-Year Projection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5" l="1"/>
  <c r="C15" i="5"/>
  <c r="C14" i="5"/>
  <c r="C13" i="5"/>
  <c r="C12" i="5"/>
  <c r="C17" i="5" s="1"/>
  <c r="C8" i="5"/>
  <c r="C7" i="5"/>
  <c r="C6" i="5"/>
  <c r="C9" i="5" s="1"/>
  <c r="C19" i="5" s="1"/>
  <c r="B22" i="5" s="1"/>
  <c r="C7" i="4"/>
  <c r="C6" i="4"/>
  <c r="O33" i="3"/>
  <c r="O22" i="3"/>
  <c r="O35" i="3" s="1"/>
  <c r="O9" i="3"/>
  <c r="O36" i="3" s="1"/>
  <c r="N8" i="3"/>
  <c r="M8" i="3"/>
  <c r="L8" i="3"/>
  <c r="K8" i="3"/>
  <c r="J8" i="3"/>
  <c r="H8" i="3"/>
  <c r="G8" i="3"/>
  <c r="F8" i="3"/>
  <c r="E8" i="3"/>
  <c r="D8" i="3"/>
  <c r="C8" i="3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C21" i="2"/>
  <c r="C20" i="2"/>
  <c r="C19" i="2"/>
  <c r="C18" i="2"/>
  <c r="C17" i="2"/>
  <c r="C16" i="2"/>
  <c r="C15" i="2"/>
  <c r="C14" i="2"/>
  <c r="C13" i="2"/>
  <c r="C12" i="2"/>
  <c r="E9" i="2"/>
  <c r="D8" i="2"/>
  <c r="I8" i="3" s="1"/>
  <c r="C8" i="2"/>
  <c r="C7" i="2"/>
  <c r="C6" i="2"/>
  <c r="C13" i="1"/>
  <c r="C9" i="2" l="1"/>
  <c r="E6" i="2"/>
  <c r="D6" i="2"/>
  <c r="E7" i="2"/>
  <c r="D7" i="2"/>
  <c r="E8" i="2"/>
  <c r="C22" i="2"/>
  <c r="E12" i="2"/>
  <c r="D12" i="2"/>
  <c r="E13" i="2"/>
  <c r="D13" i="2"/>
  <c r="E14" i="2"/>
  <c r="D14" i="2"/>
  <c r="E15" i="2"/>
  <c r="D15" i="2"/>
  <c r="E16" i="2"/>
  <c r="D16" i="2"/>
  <c r="E17" i="2"/>
  <c r="D17" i="2"/>
  <c r="E18" i="2"/>
  <c r="D18" i="2"/>
  <c r="E19" i="2"/>
  <c r="D19" i="2"/>
  <c r="E20" i="2"/>
  <c r="D20" i="2"/>
  <c r="E21" i="2"/>
  <c r="D21" i="2"/>
  <c r="C34" i="2"/>
  <c r="E34" i="2" s="1"/>
  <c r="E26" i="2"/>
  <c r="N25" i="3"/>
  <c r="M25" i="3"/>
  <c r="L25" i="3"/>
  <c r="K25" i="3"/>
  <c r="J25" i="3"/>
  <c r="I25" i="3"/>
  <c r="H25" i="3"/>
  <c r="G25" i="3"/>
  <c r="F25" i="3"/>
  <c r="E25" i="3"/>
  <c r="D25" i="3"/>
  <c r="C25" i="3"/>
  <c r="D34" i="2"/>
  <c r="E27" i="2"/>
  <c r="N26" i="3"/>
  <c r="M26" i="3"/>
  <c r="L26" i="3"/>
  <c r="K26" i="3"/>
  <c r="J26" i="3"/>
  <c r="I26" i="3"/>
  <c r="H26" i="3"/>
  <c r="G26" i="3"/>
  <c r="F26" i="3"/>
  <c r="E26" i="3"/>
  <c r="D26" i="3"/>
  <c r="C26" i="3"/>
  <c r="P26" i="3" s="1"/>
  <c r="E28" i="2"/>
  <c r="N27" i="3"/>
  <c r="M27" i="3"/>
  <c r="L27" i="3"/>
  <c r="K27" i="3"/>
  <c r="J27" i="3"/>
  <c r="I27" i="3"/>
  <c r="H27" i="3"/>
  <c r="G27" i="3"/>
  <c r="F27" i="3"/>
  <c r="E27" i="3"/>
  <c r="D27" i="3"/>
  <c r="C27" i="3"/>
  <c r="P27" i="3" s="1"/>
  <c r="E29" i="2"/>
  <c r="N28" i="3"/>
  <c r="M28" i="3"/>
  <c r="L28" i="3"/>
  <c r="K28" i="3"/>
  <c r="J28" i="3"/>
  <c r="I28" i="3"/>
  <c r="H28" i="3"/>
  <c r="G28" i="3"/>
  <c r="F28" i="3"/>
  <c r="E28" i="3"/>
  <c r="D28" i="3"/>
  <c r="C28" i="3"/>
  <c r="P28" i="3" s="1"/>
  <c r="E30" i="2"/>
  <c r="N29" i="3"/>
  <c r="M29" i="3"/>
  <c r="L29" i="3"/>
  <c r="K29" i="3"/>
  <c r="J29" i="3"/>
  <c r="I29" i="3"/>
  <c r="H29" i="3"/>
  <c r="G29" i="3"/>
  <c r="F29" i="3"/>
  <c r="E29" i="3"/>
  <c r="D29" i="3"/>
  <c r="C29" i="3"/>
  <c r="P29" i="3" s="1"/>
  <c r="E31" i="2"/>
  <c r="N30" i="3"/>
  <c r="M30" i="3"/>
  <c r="L30" i="3"/>
  <c r="K30" i="3"/>
  <c r="J30" i="3"/>
  <c r="I30" i="3"/>
  <c r="H30" i="3"/>
  <c r="G30" i="3"/>
  <c r="F30" i="3"/>
  <c r="E30" i="3"/>
  <c r="D30" i="3"/>
  <c r="C30" i="3"/>
  <c r="P30" i="3" s="1"/>
  <c r="E32" i="2"/>
  <c r="N31" i="3"/>
  <c r="M31" i="3"/>
  <c r="L31" i="3"/>
  <c r="K31" i="3"/>
  <c r="J31" i="3"/>
  <c r="I31" i="3"/>
  <c r="H31" i="3"/>
  <c r="G31" i="3"/>
  <c r="F31" i="3"/>
  <c r="E31" i="3"/>
  <c r="D31" i="3"/>
  <c r="C31" i="3"/>
  <c r="P31" i="3" s="1"/>
  <c r="E33" i="2"/>
  <c r="N32" i="3"/>
  <c r="M32" i="3"/>
  <c r="L32" i="3"/>
  <c r="K32" i="3"/>
  <c r="J32" i="3"/>
  <c r="I32" i="3"/>
  <c r="H32" i="3"/>
  <c r="G32" i="3"/>
  <c r="F32" i="3"/>
  <c r="E32" i="3"/>
  <c r="D32" i="3"/>
  <c r="C32" i="3"/>
  <c r="P32" i="3" s="1"/>
  <c r="P8" i="3"/>
  <c r="C8" i="4"/>
  <c r="C9" i="4" s="1"/>
  <c r="C9" i="6" l="1"/>
  <c r="C16" i="6" s="1"/>
  <c r="D16" i="6" s="1"/>
  <c r="E16" i="6" s="1"/>
  <c r="F16" i="6" s="1"/>
  <c r="G16" i="6" s="1"/>
  <c r="C5" i="4"/>
  <c r="C41" i="2"/>
  <c r="C33" i="3"/>
  <c r="P25" i="3"/>
  <c r="P33" i="3" s="1"/>
  <c r="D33" i="3"/>
  <c r="E33" i="3"/>
  <c r="F33" i="3"/>
  <c r="G33" i="3"/>
  <c r="H33" i="3"/>
  <c r="I33" i="3"/>
  <c r="J33" i="3"/>
  <c r="K33" i="3"/>
  <c r="L33" i="3"/>
  <c r="M33" i="3"/>
  <c r="N33" i="3"/>
  <c r="N21" i="3"/>
  <c r="M21" i="3"/>
  <c r="L21" i="3"/>
  <c r="K21" i="3"/>
  <c r="J21" i="3"/>
  <c r="I21" i="3"/>
  <c r="H21" i="3"/>
  <c r="G21" i="3"/>
  <c r="F21" i="3"/>
  <c r="E21" i="3"/>
  <c r="D21" i="3"/>
  <c r="C21" i="3"/>
  <c r="P21" i="3" s="1"/>
  <c r="N20" i="3"/>
  <c r="M20" i="3"/>
  <c r="L20" i="3"/>
  <c r="K20" i="3"/>
  <c r="J20" i="3"/>
  <c r="I20" i="3"/>
  <c r="H20" i="3"/>
  <c r="G20" i="3"/>
  <c r="F20" i="3"/>
  <c r="E20" i="3"/>
  <c r="D20" i="3"/>
  <c r="C20" i="3"/>
  <c r="P20" i="3" s="1"/>
  <c r="N19" i="3"/>
  <c r="M19" i="3"/>
  <c r="L19" i="3"/>
  <c r="K19" i="3"/>
  <c r="J19" i="3"/>
  <c r="I19" i="3"/>
  <c r="H19" i="3"/>
  <c r="G19" i="3"/>
  <c r="F19" i="3"/>
  <c r="E19" i="3"/>
  <c r="D19" i="3"/>
  <c r="C19" i="3"/>
  <c r="P19" i="3" s="1"/>
  <c r="N18" i="3"/>
  <c r="M18" i="3"/>
  <c r="L18" i="3"/>
  <c r="K18" i="3"/>
  <c r="J18" i="3"/>
  <c r="I18" i="3"/>
  <c r="H18" i="3"/>
  <c r="G18" i="3"/>
  <c r="F18" i="3"/>
  <c r="E18" i="3"/>
  <c r="D18" i="3"/>
  <c r="C18" i="3"/>
  <c r="P18" i="3" s="1"/>
  <c r="N17" i="3"/>
  <c r="M17" i="3"/>
  <c r="L17" i="3"/>
  <c r="K17" i="3"/>
  <c r="J17" i="3"/>
  <c r="I17" i="3"/>
  <c r="H17" i="3"/>
  <c r="G17" i="3"/>
  <c r="F17" i="3"/>
  <c r="E17" i="3"/>
  <c r="D17" i="3"/>
  <c r="C17" i="3"/>
  <c r="P17" i="3" s="1"/>
  <c r="N16" i="3"/>
  <c r="M16" i="3"/>
  <c r="L16" i="3"/>
  <c r="K16" i="3"/>
  <c r="J16" i="3"/>
  <c r="I16" i="3"/>
  <c r="H16" i="3"/>
  <c r="G16" i="3"/>
  <c r="F16" i="3"/>
  <c r="E16" i="3"/>
  <c r="D16" i="3"/>
  <c r="C16" i="3"/>
  <c r="P16" i="3" s="1"/>
  <c r="N15" i="3"/>
  <c r="M15" i="3"/>
  <c r="L15" i="3"/>
  <c r="K15" i="3"/>
  <c r="J15" i="3"/>
  <c r="I15" i="3"/>
  <c r="H15" i="3"/>
  <c r="G15" i="3"/>
  <c r="F15" i="3"/>
  <c r="E15" i="3"/>
  <c r="D15" i="3"/>
  <c r="C15" i="3"/>
  <c r="P15" i="3" s="1"/>
  <c r="N14" i="3"/>
  <c r="M14" i="3"/>
  <c r="L14" i="3"/>
  <c r="K14" i="3"/>
  <c r="J14" i="3"/>
  <c r="I14" i="3"/>
  <c r="H14" i="3"/>
  <c r="G14" i="3"/>
  <c r="F14" i="3"/>
  <c r="E14" i="3"/>
  <c r="D14" i="3"/>
  <c r="C14" i="3"/>
  <c r="P14" i="3" s="1"/>
  <c r="N13" i="3"/>
  <c r="M13" i="3"/>
  <c r="L13" i="3"/>
  <c r="K13" i="3"/>
  <c r="J13" i="3"/>
  <c r="I13" i="3"/>
  <c r="H13" i="3"/>
  <c r="G13" i="3"/>
  <c r="F13" i="3"/>
  <c r="E13" i="3"/>
  <c r="D13" i="3"/>
  <c r="C13" i="3"/>
  <c r="P13" i="3" s="1"/>
  <c r="N12" i="3"/>
  <c r="N22" i="3" s="1"/>
  <c r="N35" i="3" s="1"/>
  <c r="M12" i="3"/>
  <c r="M22" i="3" s="1"/>
  <c r="M35" i="3" s="1"/>
  <c r="L12" i="3"/>
  <c r="L22" i="3" s="1"/>
  <c r="L35" i="3" s="1"/>
  <c r="K12" i="3"/>
  <c r="K22" i="3" s="1"/>
  <c r="K35" i="3" s="1"/>
  <c r="J12" i="3"/>
  <c r="J22" i="3" s="1"/>
  <c r="J35" i="3" s="1"/>
  <c r="I12" i="3"/>
  <c r="I22" i="3" s="1"/>
  <c r="I35" i="3" s="1"/>
  <c r="H12" i="3"/>
  <c r="H22" i="3" s="1"/>
  <c r="H35" i="3" s="1"/>
  <c r="G12" i="3"/>
  <c r="G22" i="3" s="1"/>
  <c r="G35" i="3" s="1"/>
  <c r="F12" i="3"/>
  <c r="F22" i="3" s="1"/>
  <c r="F35" i="3" s="1"/>
  <c r="E12" i="3"/>
  <c r="E22" i="3" s="1"/>
  <c r="E35" i="3" s="1"/>
  <c r="D12" i="3"/>
  <c r="D22" i="3" s="1"/>
  <c r="D35" i="3" s="1"/>
  <c r="C12" i="3"/>
  <c r="D22" i="2"/>
  <c r="C8" i="6" s="1"/>
  <c r="C13" i="6" s="1"/>
  <c r="D13" i="6" s="1"/>
  <c r="E13" i="6" s="1"/>
  <c r="F13" i="6" s="1"/>
  <c r="G13" i="6" s="1"/>
  <c r="C40" i="2"/>
  <c r="E22" i="2"/>
  <c r="N7" i="3"/>
  <c r="M7" i="3"/>
  <c r="L7" i="3"/>
  <c r="K7" i="3"/>
  <c r="J7" i="3"/>
  <c r="I7" i="3"/>
  <c r="H7" i="3"/>
  <c r="G7" i="3"/>
  <c r="F7" i="3"/>
  <c r="E7" i="3"/>
  <c r="D7" i="3"/>
  <c r="C7" i="3"/>
  <c r="P7" i="3" s="1"/>
  <c r="N6" i="3"/>
  <c r="N9" i="3" s="1"/>
  <c r="N36" i="3" s="1"/>
  <c r="M6" i="3"/>
  <c r="M9" i="3" s="1"/>
  <c r="M36" i="3" s="1"/>
  <c r="L6" i="3"/>
  <c r="L9" i="3" s="1"/>
  <c r="L36" i="3" s="1"/>
  <c r="K6" i="3"/>
  <c r="K9" i="3" s="1"/>
  <c r="K36" i="3" s="1"/>
  <c r="J6" i="3"/>
  <c r="J9" i="3" s="1"/>
  <c r="J36" i="3" s="1"/>
  <c r="I6" i="3"/>
  <c r="I9" i="3" s="1"/>
  <c r="I36" i="3" s="1"/>
  <c r="H6" i="3"/>
  <c r="H9" i="3" s="1"/>
  <c r="H36" i="3" s="1"/>
  <c r="G6" i="3"/>
  <c r="G9" i="3" s="1"/>
  <c r="G36" i="3" s="1"/>
  <c r="F6" i="3"/>
  <c r="F9" i="3" s="1"/>
  <c r="F36" i="3" s="1"/>
  <c r="E6" i="3"/>
  <c r="E9" i="3" s="1"/>
  <c r="E36" i="3" s="1"/>
  <c r="D6" i="3"/>
  <c r="D9" i="3" s="1"/>
  <c r="D36" i="3" s="1"/>
  <c r="C6" i="3"/>
  <c r="D9" i="2"/>
  <c r="C23" i="2"/>
  <c r="C38" i="2" l="1"/>
  <c r="C36" i="2"/>
  <c r="E23" i="2"/>
  <c r="C7" i="6"/>
  <c r="C12" i="6" s="1"/>
  <c r="D23" i="2"/>
  <c r="D36" i="2" s="1"/>
  <c r="C9" i="3"/>
  <c r="P6" i="3"/>
  <c r="P9" i="3" s="1"/>
  <c r="C22" i="3"/>
  <c r="C35" i="3" s="1"/>
  <c r="P12" i="3"/>
  <c r="P22" i="3" s="1"/>
  <c r="P35" i="3" s="1"/>
  <c r="C12" i="4"/>
  <c r="C10" i="4"/>
  <c r="G22" i="4"/>
  <c r="F22" i="4"/>
  <c r="E22" i="4"/>
  <c r="D22" i="4"/>
  <c r="C22" i="4"/>
  <c r="G21" i="4"/>
  <c r="F21" i="4"/>
  <c r="E21" i="4"/>
  <c r="D21" i="4"/>
  <c r="C21" i="4"/>
  <c r="G20" i="4"/>
  <c r="F20" i="4"/>
  <c r="E20" i="4"/>
  <c r="D20" i="4"/>
  <c r="C20" i="4"/>
  <c r="G19" i="4"/>
  <c r="F19" i="4"/>
  <c r="E19" i="4"/>
  <c r="D19" i="4"/>
  <c r="C19" i="4"/>
  <c r="G18" i="4"/>
  <c r="F18" i="4"/>
  <c r="E18" i="4"/>
  <c r="D18" i="4"/>
  <c r="C18" i="4"/>
  <c r="C11" i="4" l="1"/>
  <c r="C13" i="4"/>
  <c r="C14" i="4" s="1"/>
  <c r="P36" i="3"/>
  <c r="C36" i="3"/>
  <c r="C14" i="6"/>
  <c r="D12" i="6"/>
  <c r="C39" i="2"/>
  <c r="E36" i="2"/>
  <c r="D14" i="6" l="1"/>
  <c r="E12" i="6"/>
  <c r="C17" i="6"/>
  <c r="C18" i="6" s="1"/>
  <c r="C15" i="6"/>
  <c r="C40" i="3"/>
  <c r="D39" i="3" s="1"/>
  <c r="D40" i="3" s="1"/>
  <c r="E39" i="3" s="1"/>
  <c r="E40" i="3" s="1"/>
  <c r="F39" i="3" s="1"/>
  <c r="F40" i="3" s="1"/>
  <c r="G39" i="3" s="1"/>
  <c r="G40" i="3" s="1"/>
  <c r="H39" i="3" s="1"/>
  <c r="H40" i="3" s="1"/>
  <c r="I39" i="3" s="1"/>
  <c r="I40" i="3" s="1"/>
  <c r="J39" i="3" s="1"/>
  <c r="J40" i="3" s="1"/>
  <c r="K39" i="3" s="1"/>
  <c r="K40" i="3" s="1"/>
  <c r="L39" i="3" s="1"/>
  <c r="L40" i="3" s="1"/>
  <c r="M39" i="3" s="1"/>
  <c r="M40" i="3" s="1"/>
  <c r="N39" i="3" s="1"/>
  <c r="N40" i="3" s="1"/>
  <c r="P40" i="3" s="1"/>
  <c r="C37" i="3"/>
  <c r="D37" i="3" s="1"/>
  <c r="E37" i="3" s="1"/>
  <c r="F37" i="3" s="1"/>
  <c r="G37" i="3" s="1"/>
  <c r="H37" i="3" s="1"/>
  <c r="I37" i="3" s="1"/>
  <c r="J37" i="3" s="1"/>
  <c r="K37" i="3" s="1"/>
  <c r="L37" i="3" s="1"/>
  <c r="M37" i="3" s="1"/>
  <c r="N37" i="3" s="1"/>
  <c r="P37" i="3" s="1"/>
  <c r="E14" i="6" l="1"/>
  <c r="F12" i="6"/>
  <c r="D17" i="6"/>
  <c r="D18" i="6" s="1"/>
  <c r="D15" i="6"/>
  <c r="F14" i="6" l="1"/>
  <c r="G12" i="6"/>
  <c r="E17" i="6"/>
  <c r="E18" i="6" s="1"/>
  <c r="E15" i="6"/>
  <c r="G14" i="6" l="1"/>
  <c r="H12" i="6"/>
  <c r="F17" i="6"/>
  <c r="F18" i="6" s="1"/>
  <c r="F15" i="6"/>
  <c r="G17" i="6" l="1"/>
  <c r="G15" i="6"/>
  <c r="H14" i="6"/>
  <c r="G18" i="6" l="1"/>
  <c r="H17" i="6"/>
</calcChain>
</file>

<file path=xl/sharedStrings.xml><?xml version="1.0" encoding="utf-8"?>
<sst xmlns="http://schemas.openxmlformats.org/spreadsheetml/2006/main" count="304" uniqueCount="256">
  <si>
    <t>FARM FINANCIAL BUDGET – KEY ASSUMPTIONS</t>
  </si>
  <si>
    <t>Blue cells = editable inputs. All other sheets link here automatically.</t>
  </si>
  <si>
    <t>FARM PROFILE</t>
  </si>
  <si>
    <t>Farm name</t>
  </si>
  <si>
    <t>Maple Leaf Fresh Farms</t>
  </si>
  <si>
    <t>Ontario, Canada</t>
  </si>
  <si>
    <t>Primary crop</t>
  </si>
  <si>
    <t>Fresh Tomatoes (Greenhouse)</t>
  </si>
  <si>
    <t>Solanum lycopersicum</t>
  </si>
  <si>
    <t>Farm size (hectares)</t>
  </si>
  <si>
    <t>Greenhouse + field combined</t>
  </si>
  <si>
    <t>Planning year</t>
  </si>
  <si>
    <t>2025</t>
  </si>
  <si>
    <t>Budget year</t>
  </si>
  <si>
    <t>Currency</t>
  </si>
  <si>
    <t>CAD</t>
  </si>
  <si>
    <t>Canadian Dollar</t>
  </si>
  <si>
    <t>PRODUCTION</t>
  </si>
  <si>
    <t>Yield per hectare (tonnes/ha)</t>
  </si>
  <si>
    <t>Source: OMAFRA Greenhouse Veg Guide 2024</t>
  </si>
  <si>
    <t>Total expected production (tonnes)</t>
  </si>
  <si>
    <t>Yield × farm size</t>
  </si>
  <si>
    <t>Grade A proportion</t>
  </si>
  <si>
    <t>Premium quality – direct retail</t>
  </si>
  <si>
    <t>Grade B proportion</t>
  </si>
  <si>
    <t>Wholesale/processing</t>
  </si>
  <si>
    <t>Culls / unsaleable</t>
  </si>
  <si>
    <t>Composted or discarded</t>
  </si>
  <si>
    <t>REVENUE</t>
  </si>
  <si>
    <t>Grade A selling price (CAD $/tonne)</t>
  </si>
  <si>
    <t>Premium retail &amp; food service</t>
  </si>
  <si>
    <t>Grade B selling price (CAD $/tonne)</t>
  </si>
  <si>
    <t>Wholesale market price</t>
  </si>
  <si>
    <t>Government grants / subsidies (CAD $)</t>
  </si>
  <si>
    <t>AAFC AgriInvest allocation</t>
  </si>
  <si>
    <t>VARIABLE COSTS (CAD $/tonne produced)</t>
  </si>
  <si>
    <t>Seeds &amp; transplants</t>
  </si>
  <si>
    <t>Sakata hybrid seed 2024</t>
  </si>
  <si>
    <t>Fertilisers &amp; amendments</t>
  </si>
  <si>
    <t>NPK + calcium nitrate programme</t>
  </si>
  <si>
    <t>Pesticides &amp; fungicides (IPM)</t>
  </si>
  <si>
    <t>Integrated pest management</t>
  </si>
  <si>
    <t>Irrigation &amp; water</t>
  </si>
  <si>
    <t>Municipal metered rate</t>
  </si>
  <si>
    <t>Greenhouse energy (gas+LED)</t>
  </si>
  <si>
    <t>Natural gas + supplemental lighting</t>
  </si>
  <si>
    <t>Harvest &amp; packing labour</t>
  </si>
  <si>
    <t>@ CAD $17.50/hr seasonal</t>
  </si>
  <si>
    <t>Packaging materials</t>
  </si>
  <si>
    <t>20 kg clamshells + pallets</t>
  </si>
  <si>
    <t>Transport to market</t>
  </si>
  <si>
    <t>Reefer truck, avg 180 km</t>
  </si>
  <si>
    <t>Casual labour – growing</t>
  </si>
  <si>
    <t>Greenhouse workers</t>
  </si>
  <si>
    <t>Crop insurance premium</t>
  </si>
  <si>
    <t>AgriInsurance OMAFRA</t>
  </si>
  <si>
    <t>FIXED COSTS (CAD $/year)</t>
  </si>
  <si>
    <t>Land / greenhouse lease</t>
  </si>
  <si>
    <t>Annual lease – 12 ha facility</t>
  </si>
  <si>
    <t>Equipment depreciation</t>
  </si>
  <si>
    <t>10-yr straight-line on CAD $420k assets</t>
  </si>
  <si>
    <t>Management salaries</t>
  </si>
  <si>
    <t>Farm manager + assistant</t>
  </si>
  <si>
    <t>Office &amp; administration</t>
  </si>
  <si>
    <t>Accounting, IT, communications</t>
  </si>
  <si>
    <t>Insurance – property &amp; liability</t>
  </si>
  <si>
    <t>Commercial farm policy</t>
  </si>
  <si>
    <t>Regulatory &amp; compliance</t>
  </si>
  <si>
    <t>CFIA, Safe Food for Canadians Act</t>
  </si>
  <si>
    <t>Interest on operating loan</t>
  </si>
  <si>
    <t>CAD $200k @ 7% p.a.</t>
  </si>
  <si>
    <t>Repairs &amp; maintenance</t>
  </si>
  <si>
    <t>3% of asset value</t>
  </si>
  <si>
    <t>CASH FLOW TIMING – Variable Cost Monthly %</t>
  </si>
  <si>
    <t>Jan</t>
  </si>
  <si>
    <t>Low – heating, maintenance only</t>
  </si>
  <si>
    <t>Feb</t>
  </si>
  <si>
    <t>Seeding begins</t>
  </si>
  <si>
    <t>Mar</t>
  </si>
  <si>
    <t>Transplanting, ramp-up</t>
  </si>
  <si>
    <t>Apr</t>
  </si>
  <si>
    <t>Full growing season</t>
  </si>
  <si>
    <t>May</t>
  </si>
  <si>
    <t>Peak growing</t>
  </si>
  <si>
    <t>Jun</t>
  </si>
  <si>
    <t>First harvest flush</t>
  </si>
  <si>
    <t>Jul</t>
  </si>
  <si>
    <t>Peak harvest</t>
  </si>
  <si>
    <t>Aug</t>
  </si>
  <si>
    <t>Peak harvest continues</t>
  </si>
  <si>
    <t>Sep</t>
  </si>
  <si>
    <t>Late harvest</t>
  </si>
  <si>
    <t>Oct</t>
  </si>
  <si>
    <t>Wind-down</t>
  </si>
  <si>
    <t>Nov</t>
  </si>
  <si>
    <t>Post-harvest, cleanup</t>
  </si>
  <si>
    <t>Dec</t>
  </si>
  <si>
    <t>Off-season prep</t>
  </si>
  <si>
    <t>CASH FLOW TIMING – Revenue Monthly %</t>
  </si>
  <si>
    <t>No revenue</t>
  </si>
  <si>
    <t>Early crop trickle</t>
  </si>
  <si>
    <t>Early sales</t>
  </si>
  <si>
    <t>Good volume</t>
  </si>
  <si>
    <t>First flush peak</t>
  </si>
  <si>
    <t>Peak sales</t>
  </si>
  <si>
    <t>Late season</t>
  </si>
  <si>
    <t>Final harvest</t>
  </si>
  <si>
    <t>Tail-end sales</t>
  </si>
  <si>
    <t>Minimal – stored product</t>
  </si>
  <si>
    <t>ENTERPRISE BUDGET – FRESH TOMATOES (Per Hectare &amp; Whole Farm)</t>
  </si>
  <si>
    <t>Shows profitability per hectare vs whole farm. All values link to Assumptions sheet.</t>
  </si>
  <si>
    <t>Item</t>
  </si>
  <si>
    <t>Per Hectare (CAD $)</t>
  </si>
  <si>
    <t>Whole Farm (CAD $)</t>
  </si>
  <si>
    <t>% of Revenue</t>
  </si>
  <si>
    <t>Notes</t>
  </si>
  <si>
    <t>A. REVENUE</t>
  </si>
  <si>
    <t>Grade A Sales</t>
  </si>
  <si>
    <t>Grade A proportion × yield/ha × price</t>
  </si>
  <si>
    <t>Grade B Sales</t>
  </si>
  <si>
    <t>Grade B proportion × yield/ha × price</t>
  </si>
  <si>
    <t>Government Grants / Subsidies</t>
  </si>
  <si>
    <t>AAFC AgriInvest – allocated per ha</t>
  </si>
  <si>
    <t>TOTAL REVENUE</t>
  </si>
  <si>
    <t>B. VARIABLE COSTS</t>
  </si>
  <si>
    <t>Seeds &amp; Transplants</t>
  </si>
  <si>
    <t>Fertilisers &amp; Amendments</t>
  </si>
  <si>
    <t>Pesticides &amp; Fungicides</t>
  </si>
  <si>
    <t>Irrigation &amp; Water</t>
  </si>
  <si>
    <t>Greenhouse Energy</t>
  </si>
  <si>
    <t>Harvest &amp; Packing Labour</t>
  </si>
  <si>
    <t>Packaging Materials</t>
  </si>
  <si>
    <t>Transport to Market</t>
  </si>
  <si>
    <t>Casual Labour – Growing</t>
  </si>
  <si>
    <t>Crop Insurance Premium</t>
  </si>
  <si>
    <t>TOTAL VARIABLE COSTS</t>
  </si>
  <si>
    <t>GROSS MARGIN (Revenue – Variable Costs)</t>
  </si>
  <si>
    <t>C. FIXED COSTS (Whole Farm – Allocated per Hectare)</t>
  </si>
  <si>
    <t>Land / Greenhouse Lease</t>
  </si>
  <si>
    <t>Equipment Depreciation</t>
  </si>
  <si>
    <t>Management Salaries</t>
  </si>
  <si>
    <t>Office &amp; Administration</t>
  </si>
  <si>
    <t>Insurance – Property &amp; Liability</t>
  </si>
  <si>
    <t>Regulatory &amp; Compliance</t>
  </si>
  <si>
    <t>Interest on Operating Loan</t>
  </si>
  <si>
    <t>Repairs &amp; Maintenance</t>
  </si>
  <si>
    <t>TOTAL FIXED COSTS</t>
  </si>
  <si>
    <t>NET FARM INCOME (Gross Margin – Fixed Costs)</t>
  </si>
  <si>
    <t>KEY RATIOS</t>
  </si>
  <si>
    <t>Gross Margin %</t>
  </si>
  <si>
    <t>Net Farm Income Margin %</t>
  </si>
  <si>
    <t>Variable Cost Ratio</t>
  </si>
  <si>
    <t>Fixed Cost per Tonne (CAD $)</t>
  </si>
  <si>
    <t>12-MONTH CASH FLOW BUDGET – MAPLE LEAF FRESH FARMS (2025)</t>
  </si>
  <si>
    <t>Monthly cash position. Revenue and cost timing driven by Assumptions sheet monthly % splits.</t>
  </si>
  <si>
    <t>Annual Total</t>
  </si>
  <si>
    <t>A. CASH INFLOWS</t>
  </si>
  <si>
    <t>Grade A Sales Revenue</t>
  </si>
  <si>
    <t>Grade B Sales Revenue</t>
  </si>
  <si>
    <t>Government Grants</t>
  </si>
  <si>
    <t>TOTAL CASH INFLOWS</t>
  </si>
  <si>
    <t>B. VARIABLE CASH OUTFLOWS</t>
  </si>
  <si>
    <t>TOTAL VARIABLE OUTFLOWS</t>
  </si>
  <si>
    <t>C. FIXED CASH OUTFLOWS (Monthly Equal Spread)</t>
  </si>
  <si>
    <t>TOTAL FIXED OUTFLOWS</t>
  </si>
  <si>
    <t>TOTAL CASH OUTFLOWS</t>
  </si>
  <si>
    <t>NET MONTHLY CASH FLOW</t>
  </si>
  <si>
    <t>Cumulative Cash Flow</t>
  </si>
  <si>
    <t>Opening Cash Balance (Jan 1)</t>
  </si>
  <si>
    <t>Closing Cash Balance</t>
  </si>
  <si>
    <t>BREAK-EVEN ANALYSIS</t>
  </si>
  <si>
    <t>At what price or yield does the farm break even? Change blue cells to model scenarios.</t>
  </si>
  <si>
    <t>A. BREAK-EVEN CALCULATIONS</t>
  </si>
  <si>
    <t>Total Fixed Costs (CAD $)</t>
  </si>
  <si>
    <t>Whole-farm annual fixed costs</t>
  </si>
  <si>
    <t>Total Variable Cost per Tonne (CAD $)</t>
  </si>
  <si>
    <t>Sum of all VC per tonne assumptions</t>
  </si>
  <si>
    <t>Weighted Average Selling Price (CAD $/tonne)</t>
  </si>
  <si>
    <t>Blend of Grade A &amp; B prices</t>
  </si>
  <si>
    <t>Contribution Margin per Tonne (CAD $)</t>
  </si>
  <si>
    <t>Price minus variable cost per tonne</t>
  </si>
  <si>
    <t>Contribution Margin Ratio</t>
  </si>
  <si>
    <t>CM as % of selling price</t>
  </si>
  <si>
    <t>Break-Even Volume (tonnes)</t>
  </si>
  <si>
    <t>Fixed costs ÷ contribution margin</t>
  </si>
  <si>
    <t>Break-Even Hectares</t>
  </si>
  <si>
    <t>Break-even tonnes ÷ yield/ha</t>
  </si>
  <si>
    <t>Break-Even Price (CAD $/tonne)</t>
  </si>
  <si>
    <t>Price needed to cover all costs</t>
  </si>
  <si>
    <t>Margin of Safety (tonnes above break-even)</t>
  </si>
  <si>
    <t>How far above break-even is planned output</t>
  </si>
  <si>
    <t>Margin of Safety %</t>
  </si>
  <si>
    <t>Buffer above break-even as % of total output</t>
  </si>
  <si>
    <t>B. PRICE SENSITIVITY TABLE – Net Farm Income at Different Prices &amp; Yields</t>
  </si>
  <si>
    <t>Yield → (t/ha)</t>
  </si>
  <si>
    <t>Price: CAD $750/t</t>
  </si>
  <si>
    <t>Price: CAD $850/t</t>
  </si>
  <si>
    <t>Price: CAD $950/t</t>
  </si>
  <si>
    <t>Price: CAD $1050/t</t>
  </si>
  <si>
    <t>Price: CAD $1150/t</t>
  </si>
  <si>
    <t>HOW TO READ THIS TABLE</t>
  </si>
  <si>
    <t>• Each cell shows Net Farm Income at that combination of price and yield.</t>
  </si>
  <si>
    <t>• Negative values (in brackets) mean the farm makes a loss at that scenario.</t>
  </si>
  <si>
    <t>• The break-even row/column is where Net Farm Income = 0.</t>
  </si>
  <si>
    <t>• Use this to advise the farm manager on minimum price or yield targets.</t>
  </si>
  <si>
    <t>• To add your own scenario: change the price or yield values in column B / row 17.</t>
  </si>
  <si>
    <t>PARTIAL BUDGET – GREENHOUSE EXPANSION DECISION</t>
  </si>
  <si>
    <t>Should the farm add 3 more greenhouse hectares? This partial budget analyses the net change.</t>
  </si>
  <si>
    <t>PROPOSED CHANGE: Add 3 ha of greenhouse capacity</t>
  </si>
  <si>
    <t>A. BENEFITS (Increases in Revenue + Decreases in Cost)</t>
  </si>
  <si>
    <t>Additional Grade A Revenue (3 ha × yield × Grade A price)</t>
  </si>
  <si>
    <t>New sales from expanded area</t>
  </si>
  <si>
    <t>Additional Grade B Revenue (3 ha × yield × Grade B price)</t>
  </si>
  <si>
    <t>Secondary market revenue</t>
  </si>
  <si>
    <t>Bulk input discount (estimated 5% on variable costs)</t>
  </si>
  <si>
    <t>Volume purchasing saving</t>
  </si>
  <si>
    <t>TOTAL BENEFITS</t>
  </si>
  <si>
    <t>B. COSTS (Increases in Cost + Decreases in Revenue)</t>
  </si>
  <si>
    <t>Additional Variable Costs (3 ha × yield × VC/tonne)</t>
  </si>
  <si>
    <t>Direct production cost increase</t>
  </si>
  <si>
    <t>Additional Lease Cost (3 ha × CAD $7,500/ha)</t>
  </si>
  <si>
    <t>New greenhouse lease annualised</t>
  </si>
  <si>
    <t>Additional Labour – Supervision (1 FTE)</t>
  </si>
  <si>
    <t>Greenhouse supervisor @ CAD $55k/yr</t>
  </si>
  <si>
    <t>Loan Repayment – Capital Investment (CAD $300k @ 7%, 10 yr)</t>
  </si>
  <si>
    <t>Annual loan payment on expansion capital</t>
  </si>
  <si>
    <t>Depreciation – New Equipment (CAD $80k, 10 yr)</t>
  </si>
  <si>
    <t>Straight-line depreciation on expansion assets</t>
  </si>
  <si>
    <t>TOTAL COSTS</t>
  </si>
  <si>
    <t>NET CHANGE IN FARM INCOME (Benefits – Costs)</t>
  </si>
  <si>
    <t>RECOMMENDATION</t>
  </si>
  <si>
    <t>5-YEAR FINANCIAL PROJECTION – MAPLE LEAF FRESH FARMS</t>
  </si>
  <si>
    <t>GROWTH ASSUMPTIONS (Blue = editable)</t>
  </si>
  <si>
    <t>Annual revenue growth rate</t>
  </si>
  <si>
    <t>Price improvement + volume growth</t>
  </si>
  <si>
    <t>Annual variable cost inflation</t>
  </si>
  <si>
    <t>Labour &amp; input cost inflation</t>
  </si>
  <si>
    <t>Annual fixed cost inflation</t>
  </si>
  <si>
    <t>Lease &amp; salary escalation</t>
  </si>
  <si>
    <t>Year 1 baseline – Total Revenue</t>
  </si>
  <si>
    <t>From Enterprise Budget</t>
  </si>
  <si>
    <t>Year 1 baseline – Variable Costs</t>
  </si>
  <si>
    <t>Year 1 baseline – Fixed Costs</t>
  </si>
  <si>
    <t>Metric</t>
  </si>
  <si>
    <t>Year 1
(2025)</t>
  </si>
  <si>
    <t>Year 2
(2026)</t>
  </si>
  <si>
    <t>Year 3
(2027)</t>
  </si>
  <si>
    <t>Year 4
(2028)</t>
  </si>
  <si>
    <t>Year 5
(2029)</t>
  </si>
  <si>
    <t>5-Yr CAGR</t>
  </si>
  <si>
    <t>Total Revenue</t>
  </si>
  <si>
    <t>Total Variable Costs</t>
  </si>
  <si>
    <t>Gross Margin</t>
  </si>
  <si>
    <t>Total Fixed Costs</t>
  </si>
  <si>
    <t>Net Farm Income</t>
  </si>
  <si>
    <t>Net Farm Income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</si>
</sst>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;\-"/>
    <numFmt numFmtId="165" formatCode="#,##0;\(#,##0\);\-"/>
    <numFmt numFmtId="166" formatCode="0.0%;\(0.0%\);\-"/>
    <numFmt numFmtId="167" formatCode="&quot;CAD $&quot;#,##0;&quot;(CAD $&quot;#,##0\);\-"/>
  </numFmts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FF450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8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color rgb="FF1F4E7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3" fillId="6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3" fillId="6" borderId="0" xfId="0" applyFont="1" applyFill="1"/>
    <xf numFmtId="0" fontId="3" fillId="6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164" fontId="5" fillId="5" borderId="0" xfId="0" applyNumberFormat="1" applyFont="1" applyFill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6" fontId="5" fillId="5" borderId="0" xfId="0" applyNumberFormat="1" applyFont="1" applyFill="1" applyAlignment="1">
      <alignment horizontal="right" vertical="center"/>
    </xf>
    <xf numFmtId="167" fontId="5" fillId="5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167" fontId="7" fillId="3" borderId="0" xfId="0" applyNumberFormat="1" applyFont="1" applyFill="1" applyAlignment="1">
      <alignment horizontal="right" vertical="center"/>
    </xf>
    <xf numFmtId="166" fontId="7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167" fontId="7" fillId="7" borderId="0" xfId="0" applyNumberFormat="1" applyFont="1" applyFill="1" applyAlignment="1">
      <alignment horizontal="right" vertical="center"/>
    </xf>
    <xf numFmtId="166" fontId="7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wrapText="1"/>
    </xf>
    <xf numFmtId="167" fontId="8" fillId="4" borderId="0" xfId="0" applyNumberFormat="1" applyFont="1" applyFill="1" applyAlignment="1">
      <alignment horizontal="right" vertical="center"/>
    </xf>
    <xf numFmtId="166" fontId="8" fillId="4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167" fontId="8" fillId="2" borderId="0" xfId="0" applyNumberFormat="1" applyFont="1" applyFill="1" applyAlignment="1">
      <alignment horizontal="right" vertical="center"/>
    </xf>
    <xf numFmtId="166" fontId="8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11" fillId="2" borderId="0" xfId="0" applyFont="1" applyFill="1" applyAlignment="1">
      <alignment horizontal="left" vertical="center"/>
    </xf>
    <xf numFmtId="166" fontId="7" fillId="3" borderId="0" xfId="0" applyNumberFormat="1" applyFont="1" applyFill="1" applyAlignment="1">
      <alignment horizontal="right" vertical="center"/>
    </xf>
    <xf numFmtId="166" fontId="7" fillId="7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7" fillId="7" borderId="0" xfId="0" applyNumberFormat="1" applyFont="1" applyFill="1" applyAlignment="1">
      <alignment horizontal="right" vertical="center"/>
    </xf>
    <xf numFmtId="0" fontId="12" fillId="4" borderId="0" xfId="0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167" fontId="7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167" fontId="7" fillId="2" borderId="0" xfId="0" applyNumberFormat="1" applyFont="1" applyFill="1" applyAlignment="1">
      <alignment horizontal="right" vertical="center"/>
    </xf>
    <xf numFmtId="166" fontId="7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1"/>
  <sheetViews>
    <sheetView zoomScaleNormal="100" workbookViewId="0">
      <selection activeCell="B1" sqref="B1:E1"/>
    </sheetView>
  </sheetViews>
  <sheetFormatPr defaultColWidth="8.7109375" defaultRowHeight="15" x14ac:dyDescent="0.25"/>
  <cols>
    <col min="1" max="1" width="3" customWidth="1"/>
    <col min="2" max="2" width="40" customWidth="1"/>
    <col min="3" max="3" width="20" customWidth="1"/>
    <col min="4" max="4" width="16" customWidth="1"/>
    <col min="5" max="5" width="35" customWidth="1"/>
  </cols>
  <sheetData>
    <row r="1" spans="2:5" ht="27.75" customHeight="1" x14ac:dyDescent="0.25">
      <c r="B1" s="8" t="s">
        <v>0</v>
      </c>
      <c r="C1" s="8"/>
      <c r="D1" s="8"/>
      <c r="E1" s="8"/>
    </row>
    <row r="2" spans="2:5" ht="15.75" customHeight="1" x14ac:dyDescent="0.25">
      <c r="B2" s="7" t="s">
        <v>1</v>
      </c>
      <c r="C2" s="7"/>
      <c r="D2" s="7"/>
      <c r="E2" s="7"/>
    </row>
    <row r="4" spans="2:5" ht="19.5" customHeight="1" x14ac:dyDescent="0.25">
      <c r="B4" s="6" t="s">
        <v>2</v>
      </c>
      <c r="C4" s="6"/>
      <c r="D4" s="6"/>
      <c r="E4" s="6"/>
    </row>
    <row r="5" spans="2:5" ht="18" customHeight="1" x14ac:dyDescent="0.25">
      <c r="B5" s="10" t="s">
        <v>3</v>
      </c>
      <c r="C5" s="11" t="s">
        <v>4</v>
      </c>
      <c r="E5" s="12" t="s">
        <v>5</v>
      </c>
    </row>
    <row r="6" spans="2:5" ht="18" customHeight="1" x14ac:dyDescent="0.25">
      <c r="B6" s="10" t="s">
        <v>6</v>
      </c>
      <c r="C6" s="11" t="s">
        <v>7</v>
      </c>
      <c r="E6" s="12" t="s">
        <v>8</v>
      </c>
    </row>
    <row r="7" spans="2:5" ht="18" customHeight="1" x14ac:dyDescent="0.25">
      <c r="B7" s="10" t="s">
        <v>9</v>
      </c>
      <c r="C7" s="13">
        <v>12</v>
      </c>
      <c r="E7" s="12" t="s">
        <v>10</v>
      </c>
    </row>
    <row r="8" spans="2:5" ht="18" customHeight="1" x14ac:dyDescent="0.25">
      <c r="B8" s="10" t="s">
        <v>11</v>
      </c>
      <c r="C8" s="11" t="s">
        <v>12</v>
      </c>
      <c r="E8" s="12" t="s">
        <v>13</v>
      </c>
    </row>
    <row r="9" spans="2:5" ht="18" customHeight="1" x14ac:dyDescent="0.25">
      <c r="B9" s="10" t="s">
        <v>14</v>
      </c>
      <c r="C9" s="11" t="s">
        <v>15</v>
      </c>
      <c r="E9" s="12" t="s">
        <v>16</v>
      </c>
    </row>
    <row r="11" spans="2:5" ht="19.5" customHeight="1" x14ac:dyDescent="0.25">
      <c r="B11" s="6" t="s">
        <v>17</v>
      </c>
      <c r="C11" s="6"/>
      <c r="D11" s="6"/>
      <c r="E11" s="6"/>
    </row>
    <row r="12" spans="2:5" ht="18" customHeight="1" x14ac:dyDescent="0.25">
      <c r="B12" s="10" t="s">
        <v>18</v>
      </c>
      <c r="C12" s="13">
        <v>85</v>
      </c>
      <c r="E12" s="12" t="s">
        <v>19</v>
      </c>
    </row>
    <row r="13" spans="2:5" ht="18" customHeight="1" x14ac:dyDescent="0.25">
      <c r="B13" s="10" t="s">
        <v>20</v>
      </c>
      <c r="C13" s="14">
        <f>C12*C7</f>
        <v>1020</v>
      </c>
      <c r="E13" s="12" t="s">
        <v>21</v>
      </c>
    </row>
    <row r="14" spans="2:5" ht="18" customHeight="1" x14ac:dyDescent="0.25">
      <c r="B14" s="10" t="s">
        <v>22</v>
      </c>
      <c r="C14" s="15">
        <v>0.82</v>
      </c>
      <c r="E14" s="12" t="s">
        <v>23</v>
      </c>
    </row>
    <row r="15" spans="2:5" ht="18" customHeight="1" x14ac:dyDescent="0.25">
      <c r="B15" s="10" t="s">
        <v>24</v>
      </c>
      <c r="C15" s="15">
        <v>0.15</v>
      </c>
      <c r="E15" s="12" t="s">
        <v>25</v>
      </c>
    </row>
    <row r="16" spans="2:5" ht="18" customHeight="1" x14ac:dyDescent="0.25">
      <c r="B16" s="10" t="s">
        <v>26</v>
      </c>
      <c r="C16" s="15">
        <v>0.03</v>
      </c>
      <c r="E16" s="12" t="s">
        <v>27</v>
      </c>
    </row>
    <row r="18" spans="2:5" ht="19.5" customHeight="1" x14ac:dyDescent="0.25">
      <c r="B18" s="6" t="s">
        <v>28</v>
      </c>
      <c r="C18" s="6"/>
      <c r="D18" s="6"/>
      <c r="E18" s="6"/>
    </row>
    <row r="19" spans="2:5" ht="18" customHeight="1" x14ac:dyDescent="0.25">
      <c r="B19" s="10" t="s">
        <v>29</v>
      </c>
      <c r="C19" s="16">
        <v>1050</v>
      </c>
      <c r="E19" s="12" t="s">
        <v>30</v>
      </c>
    </row>
    <row r="20" spans="2:5" ht="18" customHeight="1" x14ac:dyDescent="0.25">
      <c r="B20" s="10" t="s">
        <v>31</v>
      </c>
      <c r="C20" s="16">
        <v>620</v>
      </c>
      <c r="E20" s="12" t="s">
        <v>32</v>
      </c>
    </row>
    <row r="21" spans="2:5" ht="18" customHeight="1" x14ac:dyDescent="0.25">
      <c r="B21" s="10" t="s">
        <v>33</v>
      </c>
      <c r="C21" s="16">
        <v>18000</v>
      </c>
      <c r="E21" s="12" t="s">
        <v>34</v>
      </c>
    </row>
    <row r="23" spans="2:5" ht="19.5" customHeight="1" x14ac:dyDescent="0.25">
      <c r="B23" s="6" t="s">
        <v>35</v>
      </c>
      <c r="C23" s="6"/>
      <c r="D23" s="6"/>
      <c r="E23" s="6"/>
    </row>
    <row r="24" spans="2:5" ht="18" customHeight="1" x14ac:dyDescent="0.25">
      <c r="B24" s="10" t="s">
        <v>36</v>
      </c>
      <c r="C24" s="16">
        <v>32</v>
      </c>
      <c r="E24" s="12" t="s">
        <v>37</v>
      </c>
    </row>
    <row r="25" spans="2:5" ht="18" customHeight="1" x14ac:dyDescent="0.25">
      <c r="B25" s="10" t="s">
        <v>38</v>
      </c>
      <c r="C25" s="16">
        <v>48</v>
      </c>
      <c r="E25" s="12" t="s">
        <v>39</v>
      </c>
    </row>
    <row r="26" spans="2:5" ht="18" customHeight="1" x14ac:dyDescent="0.25">
      <c r="B26" s="10" t="s">
        <v>40</v>
      </c>
      <c r="C26" s="16">
        <v>16</v>
      </c>
      <c r="E26" s="12" t="s">
        <v>41</v>
      </c>
    </row>
    <row r="27" spans="2:5" ht="18" customHeight="1" x14ac:dyDescent="0.25">
      <c r="B27" s="10" t="s">
        <v>42</v>
      </c>
      <c r="C27" s="16">
        <v>14</v>
      </c>
      <c r="E27" s="12" t="s">
        <v>43</v>
      </c>
    </row>
    <row r="28" spans="2:5" ht="18" customHeight="1" x14ac:dyDescent="0.25">
      <c r="B28" s="10" t="s">
        <v>44</v>
      </c>
      <c r="C28" s="16">
        <v>38</v>
      </c>
      <c r="E28" s="12" t="s">
        <v>45</v>
      </c>
    </row>
    <row r="29" spans="2:5" ht="18" customHeight="1" x14ac:dyDescent="0.25">
      <c r="B29" s="10" t="s">
        <v>46</v>
      </c>
      <c r="C29" s="16">
        <v>52</v>
      </c>
      <c r="E29" s="12" t="s">
        <v>47</v>
      </c>
    </row>
    <row r="30" spans="2:5" ht="18" customHeight="1" x14ac:dyDescent="0.25">
      <c r="B30" s="10" t="s">
        <v>48</v>
      </c>
      <c r="C30" s="16">
        <v>24</v>
      </c>
      <c r="E30" s="12" t="s">
        <v>49</v>
      </c>
    </row>
    <row r="31" spans="2:5" ht="18" customHeight="1" x14ac:dyDescent="0.25">
      <c r="B31" s="10" t="s">
        <v>50</v>
      </c>
      <c r="C31" s="16">
        <v>42</v>
      </c>
      <c r="E31" s="12" t="s">
        <v>51</v>
      </c>
    </row>
    <row r="32" spans="2:5" ht="18" customHeight="1" x14ac:dyDescent="0.25">
      <c r="B32" s="10" t="s">
        <v>52</v>
      </c>
      <c r="C32" s="16">
        <v>35</v>
      </c>
      <c r="E32" s="12" t="s">
        <v>53</v>
      </c>
    </row>
    <row r="33" spans="2:5" ht="18" customHeight="1" x14ac:dyDescent="0.25">
      <c r="B33" s="10" t="s">
        <v>54</v>
      </c>
      <c r="C33" s="16">
        <v>18</v>
      </c>
      <c r="E33" s="12" t="s">
        <v>55</v>
      </c>
    </row>
    <row r="35" spans="2:5" ht="19.5" customHeight="1" x14ac:dyDescent="0.25">
      <c r="B35" s="6" t="s">
        <v>56</v>
      </c>
      <c r="C35" s="6"/>
      <c r="D35" s="6"/>
      <c r="E35" s="6"/>
    </row>
    <row r="36" spans="2:5" ht="18" customHeight="1" x14ac:dyDescent="0.25">
      <c r="B36" s="10" t="s">
        <v>57</v>
      </c>
      <c r="C36" s="16">
        <v>95000</v>
      </c>
      <c r="E36" s="12" t="s">
        <v>58</v>
      </c>
    </row>
    <row r="37" spans="2:5" ht="18" customHeight="1" x14ac:dyDescent="0.25">
      <c r="B37" s="10" t="s">
        <v>59</v>
      </c>
      <c r="C37" s="16">
        <v>42000</v>
      </c>
      <c r="E37" s="12" t="s">
        <v>60</v>
      </c>
    </row>
    <row r="38" spans="2:5" ht="18" customHeight="1" x14ac:dyDescent="0.25">
      <c r="B38" s="10" t="s">
        <v>61</v>
      </c>
      <c r="C38" s="16">
        <v>120000</v>
      </c>
      <c r="E38" s="12" t="s">
        <v>62</v>
      </c>
    </row>
    <row r="39" spans="2:5" ht="18" customHeight="1" x14ac:dyDescent="0.25">
      <c r="B39" s="10" t="s">
        <v>63</v>
      </c>
      <c r="C39" s="16">
        <v>18000</v>
      </c>
      <c r="E39" s="12" t="s">
        <v>64</v>
      </c>
    </row>
    <row r="40" spans="2:5" ht="18" customHeight="1" x14ac:dyDescent="0.25">
      <c r="B40" s="10" t="s">
        <v>65</v>
      </c>
      <c r="C40" s="16">
        <v>22000</v>
      </c>
      <c r="E40" s="12" t="s">
        <v>66</v>
      </c>
    </row>
    <row r="41" spans="2:5" ht="18" customHeight="1" x14ac:dyDescent="0.25">
      <c r="B41" s="10" t="s">
        <v>67</v>
      </c>
      <c r="C41" s="16">
        <v>9500</v>
      </c>
      <c r="E41" s="12" t="s">
        <v>68</v>
      </c>
    </row>
    <row r="42" spans="2:5" ht="18" customHeight="1" x14ac:dyDescent="0.25">
      <c r="B42" s="10" t="s">
        <v>69</v>
      </c>
      <c r="C42" s="16">
        <v>14000</v>
      </c>
      <c r="E42" s="12" t="s">
        <v>70</v>
      </c>
    </row>
    <row r="43" spans="2:5" ht="18" customHeight="1" x14ac:dyDescent="0.25">
      <c r="B43" s="10" t="s">
        <v>71</v>
      </c>
      <c r="C43" s="16">
        <v>28000</v>
      </c>
      <c r="E43" s="12" t="s">
        <v>72</v>
      </c>
    </row>
    <row r="45" spans="2:5" ht="19.5" customHeight="1" x14ac:dyDescent="0.25">
      <c r="B45" s="6" t="s">
        <v>73</v>
      </c>
      <c r="C45" s="6"/>
      <c r="D45" s="6"/>
      <c r="E45" s="6"/>
    </row>
    <row r="46" spans="2:5" ht="18" customHeight="1" x14ac:dyDescent="0.25">
      <c r="B46" s="10" t="s">
        <v>74</v>
      </c>
      <c r="C46" s="15">
        <v>0.04</v>
      </c>
      <c r="E46" s="12" t="s">
        <v>75</v>
      </c>
    </row>
    <row r="47" spans="2:5" ht="18" customHeight="1" x14ac:dyDescent="0.25">
      <c r="B47" s="10" t="s">
        <v>76</v>
      </c>
      <c r="C47" s="15">
        <v>0.05</v>
      </c>
      <c r="E47" s="12" t="s">
        <v>77</v>
      </c>
    </row>
    <row r="48" spans="2:5" ht="18" customHeight="1" x14ac:dyDescent="0.25">
      <c r="B48" s="10" t="s">
        <v>78</v>
      </c>
      <c r="C48" s="15">
        <v>0.1</v>
      </c>
      <c r="E48" s="12" t="s">
        <v>79</v>
      </c>
    </row>
    <row r="49" spans="2:5" ht="18" customHeight="1" x14ac:dyDescent="0.25">
      <c r="B49" s="10" t="s">
        <v>80</v>
      </c>
      <c r="C49" s="15">
        <v>0.1</v>
      </c>
      <c r="E49" s="12" t="s">
        <v>81</v>
      </c>
    </row>
    <row r="50" spans="2:5" ht="18" customHeight="1" x14ac:dyDescent="0.25">
      <c r="B50" s="10" t="s">
        <v>82</v>
      </c>
      <c r="C50" s="15">
        <v>0.1</v>
      </c>
      <c r="E50" s="12" t="s">
        <v>83</v>
      </c>
    </row>
    <row r="51" spans="2:5" ht="18" customHeight="1" x14ac:dyDescent="0.25">
      <c r="B51" s="10" t="s">
        <v>84</v>
      </c>
      <c r="C51" s="15">
        <v>0.09</v>
      </c>
      <c r="E51" s="12" t="s">
        <v>85</v>
      </c>
    </row>
    <row r="52" spans="2:5" ht="18" customHeight="1" x14ac:dyDescent="0.25">
      <c r="B52" s="10" t="s">
        <v>86</v>
      </c>
      <c r="C52" s="15">
        <v>0.1</v>
      </c>
      <c r="E52" s="12" t="s">
        <v>87</v>
      </c>
    </row>
    <row r="53" spans="2:5" ht="18" customHeight="1" x14ac:dyDescent="0.25">
      <c r="B53" s="10" t="s">
        <v>88</v>
      </c>
      <c r="C53" s="15">
        <v>0.1</v>
      </c>
      <c r="E53" s="12" t="s">
        <v>89</v>
      </c>
    </row>
    <row r="54" spans="2:5" ht="18" customHeight="1" x14ac:dyDescent="0.25">
      <c r="B54" s="10" t="s">
        <v>90</v>
      </c>
      <c r="C54" s="15">
        <v>0.09</v>
      </c>
      <c r="E54" s="12" t="s">
        <v>91</v>
      </c>
    </row>
    <row r="55" spans="2:5" ht="18" customHeight="1" x14ac:dyDescent="0.25">
      <c r="B55" s="10" t="s">
        <v>92</v>
      </c>
      <c r="C55" s="15">
        <v>0.08</v>
      </c>
      <c r="E55" s="12" t="s">
        <v>93</v>
      </c>
    </row>
    <row r="56" spans="2:5" ht="18" customHeight="1" x14ac:dyDescent="0.25">
      <c r="B56" s="10" t="s">
        <v>94</v>
      </c>
      <c r="C56" s="15">
        <v>0.08</v>
      </c>
      <c r="E56" s="12" t="s">
        <v>95</v>
      </c>
    </row>
    <row r="57" spans="2:5" ht="18" customHeight="1" x14ac:dyDescent="0.25">
      <c r="B57" s="10" t="s">
        <v>96</v>
      </c>
      <c r="C57" s="15">
        <v>7.0000000000000007E-2</v>
      </c>
      <c r="E57" s="12" t="s">
        <v>97</v>
      </c>
    </row>
    <row r="59" spans="2:5" ht="19.5" customHeight="1" x14ac:dyDescent="0.25">
      <c r="B59" s="6" t="s">
        <v>98</v>
      </c>
      <c r="C59" s="6"/>
      <c r="D59" s="6"/>
      <c r="E59" s="6"/>
    </row>
    <row r="60" spans="2:5" ht="18" customHeight="1" x14ac:dyDescent="0.25">
      <c r="B60" s="10" t="s">
        <v>74</v>
      </c>
      <c r="C60" s="15">
        <v>0</v>
      </c>
      <c r="E60" s="12" t="s">
        <v>99</v>
      </c>
    </row>
    <row r="61" spans="2:5" ht="18" customHeight="1" x14ac:dyDescent="0.25">
      <c r="B61" s="10" t="s">
        <v>76</v>
      </c>
      <c r="C61" s="15">
        <v>0</v>
      </c>
      <c r="E61" s="12" t="s">
        <v>99</v>
      </c>
    </row>
    <row r="62" spans="2:5" ht="18" customHeight="1" x14ac:dyDescent="0.25">
      <c r="B62" s="10" t="s">
        <v>78</v>
      </c>
      <c r="C62" s="15">
        <v>0.02</v>
      </c>
      <c r="E62" s="12" t="s">
        <v>100</v>
      </c>
    </row>
    <row r="63" spans="2:5" ht="18" customHeight="1" x14ac:dyDescent="0.25">
      <c r="B63" s="10" t="s">
        <v>80</v>
      </c>
      <c r="C63" s="15">
        <v>0.05</v>
      </c>
      <c r="E63" s="12" t="s">
        <v>101</v>
      </c>
    </row>
    <row r="64" spans="2:5" ht="18" customHeight="1" x14ac:dyDescent="0.25">
      <c r="B64" s="10" t="s">
        <v>82</v>
      </c>
      <c r="C64" s="15">
        <v>0.1</v>
      </c>
      <c r="E64" s="12" t="s">
        <v>102</v>
      </c>
    </row>
    <row r="65" spans="2:5" ht="18" customHeight="1" x14ac:dyDescent="0.25">
      <c r="B65" s="10" t="s">
        <v>84</v>
      </c>
      <c r="C65" s="15">
        <v>0.14000000000000001</v>
      </c>
      <c r="E65" s="12" t="s">
        <v>103</v>
      </c>
    </row>
    <row r="66" spans="2:5" ht="18" customHeight="1" x14ac:dyDescent="0.25">
      <c r="B66" s="10" t="s">
        <v>86</v>
      </c>
      <c r="C66" s="15">
        <v>0.16</v>
      </c>
      <c r="E66" s="12" t="s">
        <v>104</v>
      </c>
    </row>
    <row r="67" spans="2:5" ht="18" customHeight="1" x14ac:dyDescent="0.25">
      <c r="B67" s="10" t="s">
        <v>88</v>
      </c>
      <c r="C67" s="15">
        <v>0.16</v>
      </c>
      <c r="E67" s="12" t="s">
        <v>104</v>
      </c>
    </row>
    <row r="68" spans="2:5" ht="18" customHeight="1" x14ac:dyDescent="0.25">
      <c r="B68" s="10" t="s">
        <v>90</v>
      </c>
      <c r="C68" s="15">
        <v>0.14000000000000001</v>
      </c>
      <c r="E68" s="12" t="s">
        <v>105</v>
      </c>
    </row>
    <row r="69" spans="2:5" ht="18" customHeight="1" x14ac:dyDescent="0.25">
      <c r="B69" s="10" t="s">
        <v>92</v>
      </c>
      <c r="C69" s="15">
        <v>0.12</v>
      </c>
      <c r="E69" s="12" t="s">
        <v>106</v>
      </c>
    </row>
    <row r="70" spans="2:5" ht="18" customHeight="1" x14ac:dyDescent="0.25">
      <c r="B70" s="10" t="s">
        <v>94</v>
      </c>
      <c r="C70" s="15">
        <v>7.0000000000000007E-2</v>
      </c>
      <c r="E70" s="12" t="s">
        <v>107</v>
      </c>
    </row>
    <row r="71" spans="2:5" ht="18" customHeight="1" x14ac:dyDescent="0.25">
      <c r="B71" s="10" t="s">
        <v>96</v>
      </c>
      <c r="C71" s="15">
        <v>0.04</v>
      </c>
      <c r="E71" s="12" t="s">
        <v>108</v>
      </c>
    </row>
  </sheetData>
  <mergeCells count="9">
    <mergeCell ref="B23:E23"/>
    <mergeCell ref="B35:E35"/>
    <mergeCell ref="B45:E45"/>
    <mergeCell ref="B59:E59"/>
    <mergeCell ref="B1:E1"/>
    <mergeCell ref="B2:E2"/>
    <mergeCell ref="B4:E4"/>
    <mergeCell ref="B11:E11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41"/>
  <sheetViews>
    <sheetView zoomScaleNormal="100" workbookViewId="0"/>
  </sheetViews>
  <sheetFormatPr defaultColWidth="8.7109375" defaultRowHeight="15" x14ac:dyDescent="0.25"/>
  <cols>
    <col min="1" max="1" width="3" customWidth="1"/>
    <col min="2" max="2" width="38" customWidth="1"/>
    <col min="3" max="6" width="22" customWidth="1"/>
    <col min="7" max="7" width="18" customWidth="1"/>
  </cols>
  <sheetData>
    <row r="1" spans="2:7" ht="27.75" customHeight="1" x14ac:dyDescent="0.25">
      <c r="B1" s="8" t="s">
        <v>109</v>
      </c>
      <c r="C1" s="8"/>
      <c r="D1" s="8"/>
      <c r="E1" s="8"/>
      <c r="F1" s="8"/>
      <c r="G1" s="8"/>
    </row>
    <row r="2" spans="2:7" ht="15.75" customHeight="1" x14ac:dyDescent="0.25">
      <c r="B2" s="7" t="s">
        <v>110</v>
      </c>
      <c r="C2" s="7"/>
      <c r="D2" s="7"/>
      <c r="E2" s="7"/>
      <c r="F2" s="7"/>
      <c r="G2" s="7"/>
    </row>
    <row r="4" spans="2:7" ht="24" customHeight="1" x14ac:dyDescent="0.25">
      <c r="B4" s="17" t="s">
        <v>111</v>
      </c>
      <c r="C4" s="17" t="s">
        <v>112</v>
      </c>
      <c r="D4" s="17" t="s">
        <v>113</v>
      </c>
      <c r="E4" s="17" t="s">
        <v>114</v>
      </c>
      <c r="F4" s="17" t="s">
        <v>115</v>
      </c>
    </row>
    <row r="5" spans="2:7" ht="19.5" customHeight="1" x14ac:dyDescent="0.25">
      <c r="B5" s="5" t="s">
        <v>116</v>
      </c>
      <c r="C5" s="5"/>
      <c r="D5" s="5"/>
      <c r="E5" s="5"/>
      <c r="F5" s="5"/>
      <c r="G5" s="5"/>
    </row>
    <row r="6" spans="2:7" ht="18" customHeight="1" x14ac:dyDescent="0.25">
      <c r="B6" s="19" t="s">
        <v>117</v>
      </c>
      <c r="C6" s="20">
        <f>Assumptions!C12*Assumptions!C14*Assumptions!C19</f>
        <v>73185</v>
      </c>
      <c r="D6" s="20">
        <f>C6*Assumptions!C7</f>
        <v>878220</v>
      </c>
      <c r="E6" s="21">
        <f>IFERROR(C6/C9,0)</f>
        <v>0.88612422811478386</v>
      </c>
      <c r="F6" s="22" t="s">
        <v>118</v>
      </c>
    </row>
    <row r="7" spans="2:7" ht="18" customHeight="1" x14ac:dyDescent="0.25">
      <c r="B7" s="23" t="s">
        <v>119</v>
      </c>
      <c r="C7" s="24">
        <f>Assumptions!C12*Assumptions!C15*Assumptions!C20</f>
        <v>7905</v>
      </c>
      <c r="D7" s="24">
        <f>C7*Assumptions!C7</f>
        <v>94860</v>
      </c>
      <c r="E7" s="25">
        <f>IFERROR(C7/C9,0)</f>
        <v>9.5713766799854702E-2</v>
      </c>
      <c r="F7" s="26" t="s">
        <v>120</v>
      </c>
    </row>
    <row r="8" spans="2:7" ht="18" customHeight="1" x14ac:dyDescent="0.25">
      <c r="B8" s="19" t="s">
        <v>121</v>
      </c>
      <c r="C8" s="20">
        <f>Assumptions!C21/Assumptions!C7</f>
        <v>1500</v>
      </c>
      <c r="D8" s="20">
        <f>Assumptions!C21</f>
        <v>18000</v>
      </c>
      <c r="E8" s="21">
        <f>IFERROR(C8/C9,0)</f>
        <v>1.8162005085361425E-2</v>
      </c>
      <c r="F8" s="22" t="s">
        <v>122</v>
      </c>
    </row>
    <row r="9" spans="2:7" ht="21.75" customHeight="1" x14ac:dyDescent="0.25">
      <c r="B9" s="9" t="s">
        <v>123</v>
      </c>
      <c r="C9" s="27">
        <f>SUM(C6:C8)</f>
        <v>82590</v>
      </c>
      <c r="D9" s="27">
        <f>SUM(D6:D8)</f>
        <v>991080</v>
      </c>
      <c r="E9" s="28">
        <f>1</f>
        <v>1</v>
      </c>
    </row>
    <row r="10" spans="2:7" ht="7.5" customHeight="1" x14ac:dyDescent="0.25"/>
    <row r="11" spans="2:7" ht="19.5" customHeight="1" x14ac:dyDescent="0.25">
      <c r="B11" s="5" t="s">
        <v>124</v>
      </c>
      <c r="C11" s="5"/>
      <c r="D11" s="5"/>
      <c r="E11" s="5"/>
      <c r="F11" s="5"/>
      <c r="G11" s="5"/>
    </row>
    <row r="12" spans="2:7" ht="18" customHeight="1" x14ac:dyDescent="0.25">
      <c r="B12" s="29" t="s">
        <v>125</v>
      </c>
      <c r="C12" s="20">
        <f>Assumptions!C24*Assumptions!C12</f>
        <v>2720</v>
      </c>
      <c r="D12" s="20">
        <f>C12*Assumptions!C7</f>
        <v>32640</v>
      </c>
      <c r="E12" s="21">
        <f>IFERROR(C12/C9,0)</f>
        <v>3.2933769221455383E-2</v>
      </c>
    </row>
    <row r="13" spans="2:7" ht="18" customHeight="1" x14ac:dyDescent="0.25">
      <c r="B13" s="30" t="s">
        <v>126</v>
      </c>
      <c r="C13" s="24">
        <f>Assumptions!C25*Assumptions!C12</f>
        <v>4080</v>
      </c>
      <c r="D13" s="24">
        <f>C13*Assumptions!C7</f>
        <v>48960</v>
      </c>
      <c r="E13" s="25">
        <f>IFERROR(C13/C9,0)</f>
        <v>4.9400653832183075E-2</v>
      </c>
    </row>
    <row r="14" spans="2:7" ht="18" customHeight="1" x14ac:dyDescent="0.25">
      <c r="B14" s="29" t="s">
        <v>127</v>
      </c>
      <c r="C14" s="20">
        <f>Assumptions!C26*Assumptions!C12</f>
        <v>1360</v>
      </c>
      <c r="D14" s="20">
        <f>C14*Assumptions!C7</f>
        <v>16320</v>
      </c>
      <c r="E14" s="21">
        <f>IFERROR(C14/C9,0)</f>
        <v>1.6466884610727692E-2</v>
      </c>
    </row>
    <row r="15" spans="2:7" ht="18" customHeight="1" x14ac:dyDescent="0.25">
      <c r="B15" s="30" t="s">
        <v>128</v>
      </c>
      <c r="C15" s="24">
        <f>Assumptions!C27*Assumptions!C12</f>
        <v>1190</v>
      </c>
      <c r="D15" s="24">
        <f>C15*Assumptions!C7</f>
        <v>14280</v>
      </c>
      <c r="E15" s="25">
        <f>IFERROR(C15/C9,0)</f>
        <v>1.440852403438673E-2</v>
      </c>
    </row>
    <row r="16" spans="2:7" ht="18" customHeight="1" x14ac:dyDescent="0.25">
      <c r="B16" s="29" t="s">
        <v>129</v>
      </c>
      <c r="C16" s="20">
        <f>Assumptions!C28*Assumptions!C12</f>
        <v>3230</v>
      </c>
      <c r="D16" s="20">
        <f>C16*Assumptions!C7</f>
        <v>38760</v>
      </c>
      <c r="E16" s="21">
        <f>IFERROR(C16/C9,0)</f>
        <v>3.9108850950478266E-2</v>
      </c>
    </row>
    <row r="17" spans="2:7" ht="18" customHeight="1" x14ac:dyDescent="0.25">
      <c r="B17" s="30" t="s">
        <v>130</v>
      </c>
      <c r="C17" s="24">
        <f>Assumptions!C29*Assumptions!C12</f>
        <v>4420</v>
      </c>
      <c r="D17" s="24">
        <f>C17*Assumptions!C7</f>
        <v>53040</v>
      </c>
      <c r="E17" s="25">
        <f>IFERROR(C17/C9,0)</f>
        <v>5.3517374984864995E-2</v>
      </c>
    </row>
    <row r="18" spans="2:7" ht="18" customHeight="1" x14ac:dyDescent="0.25">
      <c r="B18" s="29" t="s">
        <v>131</v>
      </c>
      <c r="C18" s="20">
        <f>Assumptions!C30*Assumptions!C12</f>
        <v>2040</v>
      </c>
      <c r="D18" s="20">
        <f>C18*Assumptions!C7</f>
        <v>24480</v>
      </c>
      <c r="E18" s="21">
        <f>IFERROR(C18/C9,0)</f>
        <v>2.4700326916091538E-2</v>
      </c>
    </row>
    <row r="19" spans="2:7" ht="18" customHeight="1" x14ac:dyDescent="0.25">
      <c r="B19" s="30" t="s">
        <v>132</v>
      </c>
      <c r="C19" s="24">
        <f>Assumptions!C31*Assumptions!C12</f>
        <v>3570</v>
      </c>
      <c r="D19" s="24">
        <f>C19*Assumptions!C7</f>
        <v>42840</v>
      </c>
      <c r="E19" s="25">
        <f>IFERROR(C19/C9,0)</f>
        <v>4.3225572103160186E-2</v>
      </c>
    </row>
    <row r="20" spans="2:7" ht="18" customHeight="1" x14ac:dyDescent="0.25">
      <c r="B20" s="29" t="s">
        <v>133</v>
      </c>
      <c r="C20" s="20">
        <f>Assumptions!C32*Assumptions!C12</f>
        <v>2975</v>
      </c>
      <c r="D20" s="20">
        <f>C20*Assumptions!C7</f>
        <v>35700</v>
      </c>
      <c r="E20" s="21">
        <f>IFERROR(C20/C9,0)</f>
        <v>3.6021310085966825E-2</v>
      </c>
    </row>
    <row r="21" spans="2:7" ht="18" customHeight="1" x14ac:dyDescent="0.25">
      <c r="B21" s="30" t="s">
        <v>134</v>
      </c>
      <c r="C21" s="24">
        <f>Assumptions!C33*Assumptions!C12</f>
        <v>1530</v>
      </c>
      <c r="D21" s="24">
        <f>C21*Assumptions!C7</f>
        <v>18360</v>
      </c>
      <c r="E21" s="25">
        <f>IFERROR(C21/C9,0)</f>
        <v>1.8525245187068651E-2</v>
      </c>
    </row>
    <row r="22" spans="2:7" ht="21.75" customHeight="1" x14ac:dyDescent="0.25">
      <c r="B22" s="9" t="s">
        <v>135</v>
      </c>
      <c r="C22" s="27">
        <f>SUM(C12:C21)</f>
        <v>27115</v>
      </c>
      <c r="D22" s="27">
        <f>SUM(D12:D21)</f>
        <v>325380</v>
      </c>
      <c r="E22" s="28">
        <f>IFERROR(C22/C9,0)</f>
        <v>0.32830851192638333</v>
      </c>
    </row>
    <row r="23" spans="2:7" ht="21.75" customHeight="1" x14ac:dyDescent="0.25">
      <c r="B23" s="31" t="s">
        <v>136</v>
      </c>
      <c r="C23" s="32">
        <f>C9-C22</f>
        <v>55475</v>
      </c>
      <c r="D23" s="32">
        <f>D9-D22</f>
        <v>665700</v>
      </c>
      <c r="E23" s="33">
        <f>IFERROR(C23/C9,0)</f>
        <v>0.67169148807361667</v>
      </c>
      <c r="F23" s="34"/>
    </row>
    <row r="24" spans="2:7" ht="7.5" customHeight="1" x14ac:dyDescent="0.25"/>
    <row r="25" spans="2:7" ht="19.5" customHeight="1" x14ac:dyDescent="0.25">
      <c r="B25" s="5" t="s">
        <v>137</v>
      </c>
      <c r="C25" s="5"/>
      <c r="D25" s="5"/>
      <c r="E25" s="5"/>
      <c r="F25" s="5"/>
      <c r="G25" s="5"/>
    </row>
    <row r="26" spans="2:7" ht="18" customHeight="1" x14ac:dyDescent="0.25">
      <c r="B26" s="29" t="s">
        <v>138</v>
      </c>
      <c r="C26" s="20">
        <f>Assumptions!C36/Assumptions!C7</f>
        <v>7916.666666666667</v>
      </c>
      <c r="D26" s="20">
        <f>Assumptions!C36</f>
        <v>95000</v>
      </c>
      <c r="E26" s="21">
        <f>IFERROR(C26/C9,0)</f>
        <v>9.5855026839407526E-2</v>
      </c>
    </row>
    <row r="27" spans="2:7" ht="18" customHeight="1" x14ac:dyDescent="0.25">
      <c r="B27" s="30" t="s">
        <v>139</v>
      </c>
      <c r="C27" s="24">
        <f>Assumptions!C37/Assumptions!C7</f>
        <v>3500</v>
      </c>
      <c r="D27" s="24">
        <f>Assumptions!C37</f>
        <v>42000</v>
      </c>
      <c r="E27" s="25">
        <f>IFERROR(C27/C9,0)</f>
        <v>4.2378011865843321E-2</v>
      </c>
    </row>
    <row r="28" spans="2:7" ht="18" customHeight="1" x14ac:dyDescent="0.25">
      <c r="B28" s="29" t="s">
        <v>140</v>
      </c>
      <c r="C28" s="20">
        <f>Assumptions!C38/Assumptions!C7</f>
        <v>10000</v>
      </c>
      <c r="D28" s="20">
        <f>Assumptions!C38</f>
        <v>120000</v>
      </c>
      <c r="E28" s="21">
        <f>IFERROR(C28/C9,0)</f>
        <v>0.1210800339024095</v>
      </c>
    </row>
    <row r="29" spans="2:7" ht="18" customHeight="1" x14ac:dyDescent="0.25">
      <c r="B29" s="30" t="s">
        <v>141</v>
      </c>
      <c r="C29" s="24">
        <f>Assumptions!C39/Assumptions!C7</f>
        <v>1500</v>
      </c>
      <c r="D29" s="24">
        <f>Assumptions!C39</f>
        <v>18000</v>
      </c>
      <c r="E29" s="25">
        <f>IFERROR(C29/C9,0)</f>
        <v>1.8162005085361425E-2</v>
      </c>
    </row>
    <row r="30" spans="2:7" ht="18" customHeight="1" x14ac:dyDescent="0.25">
      <c r="B30" s="29" t="s">
        <v>142</v>
      </c>
      <c r="C30" s="20">
        <f>Assumptions!C40/Assumptions!C7</f>
        <v>1833.3333333333333</v>
      </c>
      <c r="D30" s="20">
        <f>Assumptions!C40</f>
        <v>22000</v>
      </c>
      <c r="E30" s="21">
        <f>IFERROR(C30/C9,0)</f>
        <v>2.219800621544174E-2</v>
      </c>
    </row>
    <row r="31" spans="2:7" ht="18" customHeight="1" x14ac:dyDescent="0.25">
      <c r="B31" s="30" t="s">
        <v>143</v>
      </c>
      <c r="C31" s="24">
        <f>Assumptions!C41/Assumptions!C7</f>
        <v>791.66666666666663</v>
      </c>
      <c r="D31" s="24">
        <f>Assumptions!C41</f>
        <v>9500</v>
      </c>
      <c r="E31" s="25">
        <f>IFERROR(C31/C9,0)</f>
        <v>9.5855026839407505E-3</v>
      </c>
    </row>
    <row r="32" spans="2:7" ht="18" customHeight="1" x14ac:dyDescent="0.25">
      <c r="B32" s="29" t="s">
        <v>144</v>
      </c>
      <c r="C32" s="20">
        <f>Assumptions!C42/Assumptions!C7</f>
        <v>1166.6666666666667</v>
      </c>
      <c r="D32" s="20">
        <f>Assumptions!C42</f>
        <v>14000</v>
      </c>
      <c r="E32" s="21">
        <f>IFERROR(C32/C9,0)</f>
        <v>1.4126003955281109E-2</v>
      </c>
    </row>
    <row r="33" spans="2:7" ht="18" customHeight="1" x14ac:dyDescent="0.25">
      <c r="B33" s="30" t="s">
        <v>145</v>
      </c>
      <c r="C33" s="24">
        <f>Assumptions!C43/Assumptions!C7</f>
        <v>2333.3333333333335</v>
      </c>
      <c r="D33" s="24">
        <f>Assumptions!C43</f>
        <v>28000</v>
      </c>
      <c r="E33" s="25">
        <f>IFERROR(C33/C9,0)</f>
        <v>2.8252007910562218E-2</v>
      </c>
    </row>
    <row r="34" spans="2:7" ht="21.75" customHeight="1" x14ac:dyDescent="0.25">
      <c r="B34" s="9" t="s">
        <v>146</v>
      </c>
      <c r="C34" s="27">
        <f>SUM(C26:C33)</f>
        <v>29041.666666666668</v>
      </c>
      <c r="D34" s="27">
        <f>SUM(D26:D33)</f>
        <v>348500</v>
      </c>
      <c r="E34" s="28">
        <f>IFERROR(C34/C9,0)</f>
        <v>0.35163659845824757</v>
      </c>
    </row>
    <row r="35" spans="2:7" ht="7.5" customHeight="1" x14ac:dyDescent="0.25"/>
    <row r="36" spans="2:7" ht="25.5" customHeight="1" x14ac:dyDescent="0.25">
      <c r="B36" s="35" t="s">
        <v>147</v>
      </c>
      <c r="C36" s="32">
        <f>C23-C34</f>
        <v>26433.333333333332</v>
      </c>
      <c r="D36" s="32">
        <f>D23-D34</f>
        <v>317200</v>
      </c>
      <c r="E36" s="33">
        <f>IFERROR(C36/C9,0)</f>
        <v>0.3200548896153691</v>
      </c>
      <c r="F36" s="34"/>
    </row>
    <row r="37" spans="2:7" ht="7.5" customHeight="1" x14ac:dyDescent="0.25">
      <c r="B37" s="5" t="s">
        <v>148</v>
      </c>
      <c r="C37" s="5"/>
      <c r="D37" s="5"/>
      <c r="E37" s="5"/>
      <c r="F37" s="5"/>
      <c r="G37" s="5"/>
    </row>
    <row r="38" spans="2:7" ht="18" customHeight="1" x14ac:dyDescent="0.25">
      <c r="B38" s="19" t="s">
        <v>149</v>
      </c>
      <c r="C38" s="36">
        <f>IFERROR(C23/C9,0)</f>
        <v>0.67169148807361667</v>
      </c>
    </row>
    <row r="39" spans="2:7" ht="18" customHeight="1" x14ac:dyDescent="0.25">
      <c r="B39" s="23" t="s">
        <v>150</v>
      </c>
      <c r="C39" s="37">
        <f>IFERROR(C36/C9,0)</f>
        <v>0.3200548896153691</v>
      </c>
    </row>
    <row r="40" spans="2:7" ht="18" customHeight="1" x14ac:dyDescent="0.25">
      <c r="B40" s="19" t="s">
        <v>151</v>
      </c>
      <c r="C40" s="36">
        <f>IFERROR(C22/C9,0)</f>
        <v>0.32830851192638333</v>
      </c>
    </row>
    <row r="41" spans="2:7" ht="18" customHeight="1" x14ac:dyDescent="0.25">
      <c r="B41" s="23" t="s">
        <v>152</v>
      </c>
      <c r="C41" s="24">
        <f>IFERROR(D34/Assumptions!C13,0)</f>
        <v>341.66666666666669</v>
      </c>
    </row>
  </sheetData>
  <mergeCells count="6">
    <mergeCell ref="B37:G37"/>
    <mergeCell ref="B1:G1"/>
    <mergeCell ref="B2:G2"/>
    <mergeCell ref="B5:G5"/>
    <mergeCell ref="B11:G11"/>
    <mergeCell ref="B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40"/>
  <sheetViews>
    <sheetView zoomScaleNormal="100" workbookViewId="0"/>
  </sheetViews>
  <sheetFormatPr defaultColWidth="8.7109375" defaultRowHeight="15" x14ac:dyDescent="0.25"/>
  <cols>
    <col min="1" max="1" width="3" customWidth="1"/>
    <col min="2" max="2" width="30" customWidth="1"/>
    <col min="3" max="14" width="11" customWidth="1"/>
    <col min="16" max="16" width="14" customWidth="1"/>
  </cols>
  <sheetData>
    <row r="1" spans="2:16" ht="27.75" customHeight="1" x14ac:dyDescent="0.25">
      <c r="B1" s="8" t="s">
        <v>153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2:16" ht="15.75" customHeight="1" x14ac:dyDescent="0.25">
      <c r="B2" s="7" t="s">
        <v>154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2:16" ht="19.5" customHeight="1" x14ac:dyDescent="0.25">
      <c r="B4" s="38" t="s">
        <v>111</v>
      </c>
      <c r="C4" s="38" t="s">
        <v>74</v>
      </c>
      <c r="D4" s="38" t="s">
        <v>76</v>
      </c>
      <c r="E4" s="38" t="s">
        <v>78</v>
      </c>
      <c r="F4" s="38" t="s">
        <v>80</v>
      </c>
      <c r="G4" s="38" t="s">
        <v>82</v>
      </c>
      <c r="H4" s="38" t="s">
        <v>84</v>
      </c>
      <c r="I4" s="38" t="s">
        <v>86</v>
      </c>
      <c r="J4" s="38" t="s">
        <v>88</v>
      </c>
      <c r="K4" s="38" t="s">
        <v>90</v>
      </c>
      <c r="L4" s="38" t="s">
        <v>92</v>
      </c>
      <c r="M4" s="38" t="s">
        <v>94</v>
      </c>
      <c r="N4" s="38" t="s">
        <v>96</v>
      </c>
      <c r="P4" s="38" t="s">
        <v>155</v>
      </c>
    </row>
    <row r="5" spans="2:16" ht="19.5" customHeight="1" x14ac:dyDescent="0.25">
      <c r="B5" s="18" t="s">
        <v>156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8" customHeight="1" x14ac:dyDescent="0.25">
      <c r="B6" s="29" t="s">
        <v>157</v>
      </c>
      <c r="C6" s="20">
        <f>'Enterprise Budget'!D6*Assumptions!C60</f>
        <v>0</v>
      </c>
      <c r="D6" s="20">
        <f>'Enterprise Budget'!D6*Assumptions!C61</f>
        <v>0</v>
      </c>
      <c r="E6" s="20">
        <f>'Enterprise Budget'!D6*Assumptions!C62</f>
        <v>17564.400000000001</v>
      </c>
      <c r="F6" s="20">
        <f>'Enterprise Budget'!D6*Assumptions!C63</f>
        <v>43911</v>
      </c>
      <c r="G6" s="20">
        <f>'Enterprise Budget'!D6*Assumptions!C64</f>
        <v>87822</v>
      </c>
      <c r="H6" s="20">
        <f>'Enterprise Budget'!D6*Assumptions!C65</f>
        <v>122950.80000000002</v>
      </c>
      <c r="I6" s="20">
        <f>'Enterprise Budget'!D6*Assumptions!C66</f>
        <v>140515.20000000001</v>
      </c>
      <c r="J6" s="20">
        <f>'Enterprise Budget'!D6*Assumptions!C67</f>
        <v>140515.20000000001</v>
      </c>
      <c r="K6" s="20">
        <f>'Enterprise Budget'!D6*Assumptions!C68</f>
        <v>122950.80000000002</v>
      </c>
      <c r="L6" s="20">
        <f>'Enterprise Budget'!D6*Assumptions!C69</f>
        <v>105386.4</v>
      </c>
      <c r="M6" s="20">
        <f>'Enterprise Budget'!D6*Assumptions!C70</f>
        <v>61475.400000000009</v>
      </c>
      <c r="N6" s="20">
        <f>'Enterprise Budget'!D6*Assumptions!C71</f>
        <v>35128.800000000003</v>
      </c>
      <c r="P6" s="20">
        <f>SUM(C6:N6)</f>
        <v>878220.00000000023</v>
      </c>
    </row>
    <row r="7" spans="2:16" ht="18" customHeight="1" x14ac:dyDescent="0.25">
      <c r="B7" s="30" t="s">
        <v>158</v>
      </c>
      <c r="C7" s="24">
        <f>'Enterprise Budget'!D7*Assumptions!C60</f>
        <v>0</v>
      </c>
      <c r="D7" s="24">
        <f>'Enterprise Budget'!D7*Assumptions!C61</f>
        <v>0</v>
      </c>
      <c r="E7" s="24">
        <f>'Enterprise Budget'!D7*Assumptions!C62</f>
        <v>1897.2</v>
      </c>
      <c r="F7" s="24">
        <f>'Enterprise Budget'!D7*Assumptions!C63</f>
        <v>4743</v>
      </c>
      <c r="G7" s="24">
        <f>'Enterprise Budget'!D7*Assumptions!C64</f>
        <v>9486</v>
      </c>
      <c r="H7" s="24">
        <f>'Enterprise Budget'!D7*Assumptions!C65</f>
        <v>13280.400000000001</v>
      </c>
      <c r="I7" s="24">
        <f>'Enterprise Budget'!D7*Assumptions!C66</f>
        <v>15177.6</v>
      </c>
      <c r="J7" s="24">
        <f>'Enterprise Budget'!D7*Assumptions!C67</f>
        <v>15177.6</v>
      </c>
      <c r="K7" s="24">
        <f>'Enterprise Budget'!D7*Assumptions!C68</f>
        <v>13280.400000000001</v>
      </c>
      <c r="L7" s="24">
        <f>'Enterprise Budget'!D7*Assumptions!C69</f>
        <v>11383.199999999999</v>
      </c>
      <c r="M7" s="24">
        <f>'Enterprise Budget'!D7*Assumptions!C70</f>
        <v>6640.2000000000007</v>
      </c>
      <c r="N7" s="24">
        <f>'Enterprise Budget'!D7*Assumptions!C71</f>
        <v>3794.4</v>
      </c>
      <c r="P7" s="24">
        <f>SUM(C7:N7)</f>
        <v>94860</v>
      </c>
    </row>
    <row r="8" spans="2:16" ht="18" customHeight="1" x14ac:dyDescent="0.25">
      <c r="B8" s="29" t="s">
        <v>159</v>
      </c>
      <c r="C8" s="20">
        <f>0</f>
        <v>0</v>
      </c>
      <c r="D8" s="20">
        <f>0</f>
        <v>0</v>
      </c>
      <c r="E8" s="20">
        <f>0</f>
        <v>0</v>
      </c>
      <c r="F8" s="20">
        <f>0</f>
        <v>0</v>
      </c>
      <c r="G8" s="20">
        <f>0</f>
        <v>0</v>
      </c>
      <c r="H8" s="20">
        <f>0</f>
        <v>0</v>
      </c>
      <c r="I8" s="20">
        <f>'Enterprise Budget'!D8</f>
        <v>18000</v>
      </c>
      <c r="J8" s="20">
        <f>0</f>
        <v>0</v>
      </c>
      <c r="K8" s="20">
        <f>0</f>
        <v>0</v>
      </c>
      <c r="L8" s="20">
        <f>0</f>
        <v>0</v>
      </c>
      <c r="M8" s="20">
        <f>0</f>
        <v>0</v>
      </c>
      <c r="N8" s="20">
        <f>0</f>
        <v>0</v>
      </c>
      <c r="P8" s="20">
        <f>SUM(C8:N8)</f>
        <v>18000</v>
      </c>
    </row>
    <row r="9" spans="2:16" ht="21.75" customHeight="1" x14ac:dyDescent="0.25">
      <c r="B9" s="9" t="s">
        <v>160</v>
      </c>
      <c r="C9" s="27">
        <f t="shared" ref="C9:P9" si="0">SUM(C6:C8)</f>
        <v>0</v>
      </c>
      <c r="D9" s="27">
        <f t="shared" si="0"/>
        <v>0</v>
      </c>
      <c r="E9" s="27">
        <f t="shared" si="0"/>
        <v>19461.600000000002</v>
      </c>
      <c r="F9" s="27">
        <f t="shared" si="0"/>
        <v>48654</v>
      </c>
      <c r="G9" s="27">
        <f t="shared" si="0"/>
        <v>97308</v>
      </c>
      <c r="H9" s="27">
        <f t="shared" si="0"/>
        <v>136231.20000000001</v>
      </c>
      <c r="I9" s="27">
        <f t="shared" si="0"/>
        <v>173692.80000000002</v>
      </c>
      <c r="J9" s="27">
        <f t="shared" si="0"/>
        <v>155692.80000000002</v>
      </c>
      <c r="K9" s="27">
        <f t="shared" si="0"/>
        <v>136231.20000000001</v>
      </c>
      <c r="L9" s="27">
        <f t="shared" si="0"/>
        <v>116769.59999999999</v>
      </c>
      <c r="M9" s="27">
        <f t="shared" si="0"/>
        <v>68115.600000000006</v>
      </c>
      <c r="N9" s="27">
        <f t="shared" si="0"/>
        <v>38923.200000000004</v>
      </c>
      <c r="O9" s="27">
        <f t="shared" si="0"/>
        <v>0</v>
      </c>
      <c r="P9" s="27">
        <f t="shared" si="0"/>
        <v>991080.00000000023</v>
      </c>
    </row>
    <row r="10" spans="2:16" ht="7.5" customHeight="1" x14ac:dyDescent="0.25"/>
    <row r="11" spans="2:16" ht="19.5" customHeight="1" x14ac:dyDescent="0.25">
      <c r="B11" s="18" t="s">
        <v>161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2:16" ht="18" customHeight="1" x14ac:dyDescent="0.25">
      <c r="B12" s="29" t="s">
        <v>125</v>
      </c>
      <c r="C12" s="20">
        <f>'Enterprise Budget'!D12*Assumptions!C46</f>
        <v>1305.6000000000001</v>
      </c>
      <c r="D12" s="20">
        <f>'Enterprise Budget'!D12*Assumptions!C47</f>
        <v>1632</v>
      </c>
      <c r="E12" s="20">
        <f>'Enterprise Budget'!D12*Assumptions!C48</f>
        <v>3264</v>
      </c>
      <c r="F12" s="20">
        <f>'Enterprise Budget'!D12*Assumptions!C49</f>
        <v>3264</v>
      </c>
      <c r="G12" s="20">
        <f>'Enterprise Budget'!D12*Assumptions!C50</f>
        <v>3264</v>
      </c>
      <c r="H12" s="20">
        <f>'Enterprise Budget'!D12*Assumptions!C51</f>
        <v>2937.6</v>
      </c>
      <c r="I12" s="20">
        <f>'Enterprise Budget'!D12*Assumptions!C52</f>
        <v>3264</v>
      </c>
      <c r="J12" s="20">
        <f>'Enterprise Budget'!D12*Assumptions!C53</f>
        <v>3264</v>
      </c>
      <c r="K12" s="20">
        <f>'Enterprise Budget'!D12*Assumptions!C54</f>
        <v>2937.6</v>
      </c>
      <c r="L12" s="20">
        <f>'Enterprise Budget'!D12*Assumptions!C55</f>
        <v>2611.2000000000003</v>
      </c>
      <c r="M12" s="20">
        <f>'Enterprise Budget'!D12*Assumptions!C56</f>
        <v>2611.2000000000003</v>
      </c>
      <c r="N12" s="20">
        <f>'Enterprise Budget'!D12*Assumptions!C57</f>
        <v>2284.8000000000002</v>
      </c>
      <c r="P12" s="20">
        <f t="shared" ref="P12:P21" si="1">SUM(C12:N12)</f>
        <v>32640</v>
      </c>
    </row>
    <row r="13" spans="2:16" ht="18" customHeight="1" x14ac:dyDescent="0.25">
      <c r="B13" s="30" t="s">
        <v>126</v>
      </c>
      <c r="C13" s="24">
        <f>'Enterprise Budget'!D13*Assumptions!C46</f>
        <v>1958.4</v>
      </c>
      <c r="D13" s="24">
        <f>'Enterprise Budget'!D13*Assumptions!C47</f>
        <v>2448</v>
      </c>
      <c r="E13" s="24">
        <f>'Enterprise Budget'!D13*Assumptions!C48</f>
        <v>4896</v>
      </c>
      <c r="F13" s="24">
        <f>'Enterprise Budget'!D13*Assumptions!C49</f>
        <v>4896</v>
      </c>
      <c r="G13" s="24">
        <f>'Enterprise Budget'!D13*Assumptions!C50</f>
        <v>4896</v>
      </c>
      <c r="H13" s="24">
        <f>'Enterprise Budget'!D13*Assumptions!C51</f>
        <v>4406.3999999999996</v>
      </c>
      <c r="I13" s="24">
        <f>'Enterprise Budget'!D13*Assumptions!C52</f>
        <v>4896</v>
      </c>
      <c r="J13" s="24">
        <f>'Enterprise Budget'!D13*Assumptions!C53</f>
        <v>4896</v>
      </c>
      <c r="K13" s="24">
        <f>'Enterprise Budget'!D13*Assumptions!C54</f>
        <v>4406.3999999999996</v>
      </c>
      <c r="L13" s="24">
        <f>'Enterprise Budget'!D13*Assumptions!C55</f>
        <v>3916.8</v>
      </c>
      <c r="M13" s="24">
        <f>'Enterprise Budget'!D13*Assumptions!C56</f>
        <v>3916.8</v>
      </c>
      <c r="N13" s="24">
        <f>'Enterprise Budget'!D13*Assumptions!C57</f>
        <v>3427.2000000000003</v>
      </c>
      <c r="P13" s="24">
        <f t="shared" si="1"/>
        <v>48960.000000000007</v>
      </c>
    </row>
    <row r="14" spans="2:16" ht="18" customHeight="1" x14ac:dyDescent="0.25">
      <c r="B14" s="29" t="s">
        <v>127</v>
      </c>
      <c r="C14" s="20">
        <f>'Enterprise Budget'!D14*Assumptions!C46</f>
        <v>652.80000000000007</v>
      </c>
      <c r="D14" s="20">
        <f>'Enterprise Budget'!D14*Assumptions!C47</f>
        <v>816</v>
      </c>
      <c r="E14" s="20">
        <f>'Enterprise Budget'!D14*Assumptions!C48</f>
        <v>1632</v>
      </c>
      <c r="F14" s="20">
        <f>'Enterprise Budget'!D14*Assumptions!C49</f>
        <v>1632</v>
      </c>
      <c r="G14" s="20">
        <f>'Enterprise Budget'!D14*Assumptions!C50</f>
        <v>1632</v>
      </c>
      <c r="H14" s="20">
        <f>'Enterprise Budget'!D14*Assumptions!C51</f>
        <v>1468.8</v>
      </c>
      <c r="I14" s="20">
        <f>'Enterprise Budget'!D14*Assumptions!C52</f>
        <v>1632</v>
      </c>
      <c r="J14" s="20">
        <f>'Enterprise Budget'!D14*Assumptions!C53</f>
        <v>1632</v>
      </c>
      <c r="K14" s="20">
        <f>'Enterprise Budget'!D14*Assumptions!C54</f>
        <v>1468.8</v>
      </c>
      <c r="L14" s="20">
        <f>'Enterprise Budget'!D14*Assumptions!C55</f>
        <v>1305.6000000000001</v>
      </c>
      <c r="M14" s="20">
        <f>'Enterprise Budget'!D14*Assumptions!C56</f>
        <v>1305.6000000000001</v>
      </c>
      <c r="N14" s="20">
        <f>'Enterprise Budget'!D14*Assumptions!C57</f>
        <v>1142.4000000000001</v>
      </c>
      <c r="P14" s="20">
        <f t="shared" si="1"/>
        <v>16320</v>
      </c>
    </row>
    <row r="15" spans="2:16" ht="18" customHeight="1" x14ac:dyDescent="0.25">
      <c r="B15" s="30" t="s">
        <v>128</v>
      </c>
      <c r="C15" s="24">
        <f>'Enterprise Budget'!D15*Assumptions!C46</f>
        <v>571.20000000000005</v>
      </c>
      <c r="D15" s="24">
        <f>'Enterprise Budget'!D15*Assumptions!C47</f>
        <v>714</v>
      </c>
      <c r="E15" s="24">
        <f>'Enterprise Budget'!D15*Assumptions!C48</f>
        <v>1428</v>
      </c>
      <c r="F15" s="24">
        <f>'Enterprise Budget'!D15*Assumptions!C49</f>
        <v>1428</v>
      </c>
      <c r="G15" s="24">
        <f>'Enterprise Budget'!D15*Assumptions!C50</f>
        <v>1428</v>
      </c>
      <c r="H15" s="24">
        <f>'Enterprise Budget'!D15*Assumptions!C51</f>
        <v>1285.2</v>
      </c>
      <c r="I15" s="24">
        <f>'Enterprise Budget'!D15*Assumptions!C52</f>
        <v>1428</v>
      </c>
      <c r="J15" s="24">
        <f>'Enterprise Budget'!D15*Assumptions!C53</f>
        <v>1428</v>
      </c>
      <c r="K15" s="24">
        <f>'Enterprise Budget'!D15*Assumptions!C54</f>
        <v>1285.2</v>
      </c>
      <c r="L15" s="24">
        <f>'Enterprise Budget'!D15*Assumptions!C55</f>
        <v>1142.4000000000001</v>
      </c>
      <c r="M15" s="24">
        <f>'Enterprise Budget'!D15*Assumptions!C56</f>
        <v>1142.4000000000001</v>
      </c>
      <c r="N15" s="24">
        <f>'Enterprise Budget'!D15*Assumptions!C57</f>
        <v>999.60000000000014</v>
      </c>
      <c r="P15" s="24">
        <f t="shared" si="1"/>
        <v>14280</v>
      </c>
    </row>
    <row r="16" spans="2:16" ht="18" customHeight="1" x14ac:dyDescent="0.25">
      <c r="B16" s="29" t="s">
        <v>129</v>
      </c>
      <c r="C16" s="20">
        <f>'Enterprise Budget'!D16*Assumptions!C46</f>
        <v>1550.4</v>
      </c>
      <c r="D16" s="20">
        <f>'Enterprise Budget'!D16*Assumptions!C47</f>
        <v>1938</v>
      </c>
      <c r="E16" s="20">
        <f>'Enterprise Budget'!D16*Assumptions!C48</f>
        <v>3876</v>
      </c>
      <c r="F16" s="20">
        <f>'Enterprise Budget'!D16*Assumptions!C49</f>
        <v>3876</v>
      </c>
      <c r="G16" s="20">
        <f>'Enterprise Budget'!D16*Assumptions!C50</f>
        <v>3876</v>
      </c>
      <c r="H16" s="20">
        <f>'Enterprise Budget'!D16*Assumptions!C51</f>
        <v>3488.4</v>
      </c>
      <c r="I16" s="20">
        <f>'Enterprise Budget'!D16*Assumptions!C52</f>
        <v>3876</v>
      </c>
      <c r="J16" s="20">
        <f>'Enterprise Budget'!D16*Assumptions!C53</f>
        <v>3876</v>
      </c>
      <c r="K16" s="20">
        <f>'Enterprise Budget'!D16*Assumptions!C54</f>
        <v>3488.4</v>
      </c>
      <c r="L16" s="20">
        <f>'Enterprise Budget'!D16*Assumptions!C55</f>
        <v>3100.8</v>
      </c>
      <c r="M16" s="20">
        <f>'Enterprise Budget'!D16*Assumptions!C56</f>
        <v>3100.8</v>
      </c>
      <c r="N16" s="20">
        <f>'Enterprise Budget'!D16*Assumptions!C57</f>
        <v>2713.2000000000003</v>
      </c>
      <c r="P16" s="20">
        <f t="shared" si="1"/>
        <v>38760</v>
      </c>
    </row>
    <row r="17" spans="2:16" ht="18" customHeight="1" x14ac:dyDescent="0.25">
      <c r="B17" s="30" t="s">
        <v>130</v>
      </c>
      <c r="C17" s="24">
        <f>'Enterprise Budget'!D17*Assumptions!C46</f>
        <v>2121.6</v>
      </c>
      <c r="D17" s="24">
        <f>'Enterprise Budget'!D17*Assumptions!C47</f>
        <v>2652</v>
      </c>
      <c r="E17" s="24">
        <f>'Enterprise Budget'!D17*Assumptions!C48</f>
        <v>5304</v>
      </c>
      <c r="F17" s="24">
        <f>'Enterprise Budget'!D17*Assumptions!C49</f>
        <v>5304</v>
      </c>
      <c r="G17" s="24">
        <f>'Enterprise Budget'!D17*Assumptions!C50</f>
        <v>5304</v>
      </c>
      <c r="H17" s="24">
        <f>'Enterprise Budget'!D17*Assumptions!C51</f>
        <v>4773.5999999999995</v>
      </c>
      <c r="I17" s="24">
        <f>'Enterprise Budget'!D17*Assumptions!C52</f>
        <v>5304</v>
      </c>
      <c r="J17" s="24">
        <f>'Enterprise Budget'!D17*Assumptions!C53</f>
        <v>5304</v>
      </c>
      <c r="K17" s="24">
        <f>'Enterprise Budget'!D17*Assumptions!C54</f>
        <v>4773.5999999999995</v>
      </c>
      <c r="L17" s="24">
        <f>'Enterprise Budget'!D17*Assumptions!C55</f>
        <v>4243.2</v>
      </c>
      <c r="M17" s="24">
        <f>'Enterprise Budget'!D17*Assumptions!C56</f>
        <v>4243.2</v>
      </c>
      <c r="N17" s="24">
        <f>'Enterprise Budget'!D17*Assumptions!C57</f>
        <v>3712.8</v>
      </c>
      <c r="P17" s="24">
        <f t="shared" si="1"/>
        <v>53039.999999999993</v>
      </c>
    </row>
    <row r="18" spans="2:16" ht="18" customHeight="1" x14ac:dyDescent="0.25">
      <c r="B18" s="29" t="s">
        <v>131</v>
      </c>
      <c r="C18" s="20">
        <f>'Enterprise Budget'!D18*Assumptions!C46</f>
        <v>979.2</v>
      </c>
      <c r="D18" s="20">
        <f>'Enterprise Budget'!D18*Assumptions!C47</f>
        <v>1224</v>
      </c>
      <c r="E18" s="20">
        <f>'Enterprise Budget'!D18*Assumptions!C48</f>
        <v>2448</v>
      </c>
      <c r="F18" s="20">
        <f>'Enterprise Budget'!D18*Assumptions!C49</f>
        <v>2448</v>
      </c>
      <c r="G18" s="20">
        <f>'Enterprise Budget'!D18*Assumptions!C50</f>
        <v>2448</v>
      </c>
      <c r="H18" s="20">
        <f>'Enterprise Budget'!D18*Assumptions!C51</f>
        <v>2203.1999999999998</v>
      </c>
      <c r="I18" s="20">
        <f>'Enterprise Budget'!D18*Assumptions!C52</f>
        <v>2448</v>
      </c>
      <c r="J18" s="20">
        <f>'Enterprise Budget'!D18*Assumptions!C53</f>
        <v>2448</v>
      </c>
      <c r="K18" s="20">
        <f>'Enterprise Budget'!D18*Assumptions!C54</f>
        <v>2203.1999999999998</v>
      </c>
      <c r="L18" s="20">
        <f>'Enterprise Budget'!D18*Assumptions!C55</f>
        <v>1958.4</v>
      </c>
      <c r="M18" s="20">
        <f>'Enterprise Budget'!D18*Assumptions!C56</f>
        <v>1958.4</v>
      </c>
      <c r="N18" s="20">
        <f>'Enterprise Budget'!D18*Assumptions!C57</f>
        <v>1713.6000000000001</v>
      </c>
      <c r="P18" s="20">
        <f t="shared" si="1"/>
        <v>24480.000000000004</v>
      </c>
    </row>
    <row r="19" spans="2:16" ht="18" customHeight="1" x14ac:dyDescent="0.25">
      <c r="B19" s="30" t="s">
        <v>132</v>
      </c>
      <c r="C19" s="24">
        <f>'Enterprise Budget'!D19*Assumptions!C46</f>
        <v>1713.6000000000001</v>
      </c>
      <c r="D19" s="24">
        <f>'Enterprise Budget'!D19*Assumptions!C47</f>
        <v>2142</v>
      </c>
      <c r="E19" s="24">
        <f>'Enterprise Budget'!D19*Assumptions!C48</f>
        <v>4284</v>
      </c>
      <c r="F19" s="24">
        <f>'Enterprise Budget'!D19*Assumptions!C49</f>
        <v>4284</v>
      </c>
      <c r="G19" s="24">
        <f>'Enterprise Budget'!D19*Assumptions!C50</f>
        <v>4284</v>
      </c>
      <c r="H19" s="24">
        <f>'Enterprise Budget'!D19*Assumptions!C51</f>
        <v>3855.6</v>
      </c>
      <c r="I19" s="24">
        <f>'Enterprise Budget'!D19*Assumptions!C52</f>
        <v>4284</v>
      </c>
      <c r="J19" s="24">
        <f>'Enterprise Budget'!D19*Assumptions!C53</f>
        <v>4284</v>
      </c>
      <c r="K19" s="24">
        <f>'Enterprise Budget'!D19*Assumptions!C54</f>
        <v>3855.6</v>
      </c>
      <c r="L19" s="24">
        <f>'Enterprise Budget'!D19*Assumptions!C55</f>
        <v>3427.2000000000003</v>
      </c>
      <c r="M19" s="24">
        <f>'Enterprise Budget'!D19*Assumptions!C56</f>
        <v>3427.2000000000003</v>
      </c>
      <c r="N19" s="24">
        <f>'Enterprise Budget'!D19*Assumptions!C57</f>
        <v>2998.8</v>
      </c>
      <c r="P19" s="24">
        <f t="shared" si="1"/>
        <v>42839.999999999993</v>
      </c>
    </row>
    <row r="20" spans="2:16" ht="18" customHeight="1" x14ac:dyDescent="0.25">
      <c r="B20" s="29" t="s">
        <v>133</v>
      </c>
      <c r="C20" s="20">
        <f>'Enterprise Budget'!D20*Assumptions!C46</f>
        <v>1428</v>
      </c>
      <c r="D20" s="20">
        <f>'Enterprise Budget'!D20*Assumptions!C47</f>
        <v>1785</v>
      </c>
      <c r="E20" s="20">
        <f>'Enterprise Budget'!D20*Assumptions!C48</f>
        <v>3570</v>
      </c>
      <c r="F20" s="20">
        <f>'Enterprise Budget'!D20*Assumptions!C49</f>
        <v>3570</v>
      </c>
      <c r="G20" s="20">
        <f>'Enterprise Budget'!D20*Assumptions!C50</f>
        <v>3570</v>
      </c>
      <c r="H20" s="20">
        <f>'Enterprise Budget'!D20*Assumptions!C51</f>
        <v>3213</v>
      </c>
      <c r="I20" s="20">
        <f>'Enterprise Budget'!D20*Assumptions!C52</f>
        <v>3570</v>
      </c>
      <c r="J20" s="20">
        <f>'Enterprise Budget'!D20*Assumptions!C53</f>
        <v>3570</v>
      </c>
      <c r="K20" s="20">
        <f>'Enterprise Budget'!D20*Assumptions!C54</f>
        <v>3213</v>
      </c>
      <c r="L20" s="20">
        <f>'Enterprise Budget'!D20*Assumptions!C55</f>
        <v>2856</v>
      </c>
      <c r="M20" s="20">
        <f>'Enterprise Budget'!D20*Assumptions!C56</f>
        <v>2856</v>
      </c>
      <c r="N20" s="20">
        <f>'Enterprise Budget'!D20*Assumptions!C57</f>
        <v>2499.0000000000005</v>
      </c>
      <c r="P20" s="20">
        <f t="shared" si="1"/>
        <v>35700</v>
      </c>
    </row>
    <row r="21" spans="2:16" ht="18" customHeight="1" x14ac:dyDescent="0.25">
      <c r="B21" s="30" t="s">
        <v>134</v>
      </c>
      <c r="C21" s="24">
        <f>'Enterprise Budget'!D21*Assumptions!C46</f>
        <v>734.4</v>
      </c>
      <c r="D21" s="24">
        <f>'Enterprise Budget'!D21*Assumptions!C47</f>
        <v>918</v>
      </c>
      <c r="E21" s="24">
        <f>'Enterprise Budget'!D21*Assumptions!C48</f>
        <v>1836</v>
      </c>
      <c r="F21" s="24">
        <f>'Enterprise Budget'!D21*Assumptions!C49</f>
        <v>1836</v>
      </c>
      <c r="G21" s="24">
        <f>'Enterprise Budget'!D21*Assumptions!C50</f>
        <v>1836</v>
      </c>
      <c r="H21" s="24">
        <f>'Enterprise Budget'!D21*Assumptions!C51</f>
        <v>1652.3999999999999</v>
      </c>
      <c r="I21" s="24">
        <f>'Enterprise Budget'!D21*Assumptions!C52</f>
        <v>1836</v>
      </c>
      <c r="J21" s="24">
        <f>'Enterprise Budget'!D21*Assumptions!C53</f>
        <v>1836</v>
      </c>
      <c r="K21" s="24">
        <f>'Enterprise Budget'!D21*Assumptions!C54</f>
        <v>1652.3999999999999</v>
      </c>
      <c r="L21" s="24">
        <f>'Enterprise Budget'!D21*Assumptions!C55</f>
        <v>1468.8</v>
      </c>
      <c r="M21" s="24">
        <f>'Enterprise Budget'!D21*Assumptions!C56</f>
        <v>1468.8</v>
      </c>
      <c r="N21" s="24">
        <f>'Enterprise Budget'!D21*Assumptions!C57</f>
        <v>1285.2</v>
      </c>
      <c r="P21" s="24">
        <f t="shared" si="1"/>
        <v>18360</v>
      </c>
    </row>
    <row r="22" spans="2:16" ht="21.75" customHeight="1" x14ac:dyDescent="0.25">
      <c r="B22" s="9" t="s">
        <v>162</v>
      </c>
      <c r="C22" s="27">
        <f t="shared" ref="C22:P22" si="2">SUM(C12:C21)</f>
        <v>13015.2</v>
      </c>
      <c r="D22" s="27">
        <f t="shared" si="2"/>
        <v>16269</v>
      </c>
      <c r="E22" s="27">
        <f t="shared" si="2"/>
        <v>32538</v>
      </c>
      <c r="F22" s="27">
        <f t="shared" si="2"/>
        <v>32538</v>
      </c>
      <c r="G22" s="27">
        <f t="shared" si="2"/>
        <v>32538</v>
      </c>
      <c r="H22" s="27">
        <f t="shared" si="2"/>
        <v>29284.2</v>
      </c>
      <c r="I22" s="27">
        <f t="shared" si="2"/>
        <v>32538</v>
      </c>
      <c r="J22" s="27">
        <f t="shared" si="2"/>
        <v>32538</v>
      </c>
      <c r="K22" s="27">
        <f t="shared" si="2"/>
        <v>29284.2</v>
      </c>
      <c r="L22" s="27">
        <f t="shared" si="2"/>
        <v>26030.400000000001</v>
      </c>
      <c r="M22" s="27">
        <f t="shared" si="2"/>
        <v>26030.400000000001</v>
      </c>
      <c r="N22" s="27">
        <f t="shared" si="2"/>
        <v>22776.600000000002</v>
      </c>
      <c r="O22" s="27">
        <f t="shared" si="2"/>
        <v>0</v>
      </c>
      <c r="P22" s="27">
        <f t="shared" si="2"/>
        <v>325380</v>
      </c>
    </row>
    <row r="23" spans="2:16" ht="7.5" customHeight="1" x14ac:dyDescent="0.25"/>
    <row r="24" spans="2:16" ht="19.5" customHeight="1" x14ac:dyDescent="0.25">
      <c r="B24" s="18" t="s">
        <v>163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2:16" ht="18" customHeight="1" x14ac:dyDescent="0.25">
      <c r="B25" s="29" t="s">
        <v>138</v>
      </c>
      <c r="C25" s="20">
        <f>'Enterprise Budget'!D26/12</f>
        <v>7916.666666666667</v>
      </c>
      <c r="D25" s="20">
        <f>'Enterprise Budget'!D26/12</f>
        <v>7916.666666666667</v>
      </c>
      <c r="E25" s="20">
        <f>'Enterprise Budget'!D26/12</f>
        <v>7916.666666666667</v>
      </c>
      <c r="F25" s="20">
        <f>'Enterprise Budget'!D26/12</f>
        <v>7916.666666666667</v>
      </c>
      <c r="G25" s="20">
        <f>'Enterprise Budget'!D26/12</f>
        <v>7916.666666666667</v>
      </c>
      <c r="H25" s="20">
        <f>'Enterprise Budget'!D26/12</f>
        <v>7916.666666666667</v>
      </c>
      <c r="I25" s="20">
        <f>'Enterprise Budget'!D26/12</f>
        <v>7916.666666666667</v>
      </c>
      <c r="J25" s="20">
        <f>'Enterprise Budget'!D26/12</f>
        <v>7916.666666666667</v>
      </c>
      <c r="K25" s="20">
        <f>'Enterprise Budget'!D26/12</f>
        <v>7916.666666666667</v>
      </c>
      <c r="L25" s="20">
        <f>'Enterprise Budget'!D26/12</f>
        <v>7916.666666666667</v>
      </c>
      <c r="M25" s="20">
        <f>'Enterprise Budget'!D26/12</f>
        <v>7916.666666666667</v>
      </c>
      <c r="N25" s="20">
        <f>'Enterprise Budget'!D26/12</f>
        <v>7916.666666666667</v>
      </c>
      <c r="P25" s="20">
        <f t="shared" ref="P25:P32" si="3">SUM(C25:N25)</f>
        <v>95000.000000000015</v>
      </c>
    </row>
    <row r="26" spans="2:16" ht="18" customHeight="1" x14ac:dyDescent="0.25">
      <c r="B26" s="30" t="s">
        <v>139</v>
      </c>
      <c r="C26" s="24">
        <f>'Enterprise Budget'!D27/12</f>
        <v>3500</v>
      </c>
      <c r="D26" s="24">
        <f>'Enterprise Budget'!D27/12</f>
        <v>3500</v>
      </c>
      <c r="E26" s="24">
        <f>'Enterprise Budget'!D27/12</f>
        <v>3500</v>
      </c>
      <c r="F26" s="24">
        <f>'Enterprise Budget'!D27/12</f>
        <v>3500</v>
      </c>
      <c r="G26" s="24">
        <f>'Enterprise Budget'!D27/12</f>
        <v>3500</v>
      </c>
      <c r="H26" s="24">
        <f>'Enterprise Budget'!D27/12</f>
        <v>3500</v>
      </c>
      <c r="I26" s="24">
        <f>'Enterprise Budget'!D27/12</f>
        <v>3500</v>
      </c>
      <c r="J26" s="24">
        <f>'Enterprise Budget'!D27/12</f>
        <v>3500</v>
      </c>
      <c r="K26" s="24">
        <f>'Enterprise Budget'!D27/12</f>
        <v>3500</v>
      </c>
      <c r="L26" s="24">
        <f>'Enterprise Budget'!D27/12</f>
        <v>3500</v>
      </c>
      <c r="M26" s="24">
        <f>'Enterprise Budget'!D27/12</f>
        <v>3500</v>
      </c>
      <c r="N26" s="24">
        <f>'Enterprise Budget'!D27/12</f>
        <v>3500</v>
      </c>
      <c r="P26" s="24">
        <f t="shared" si="3"/>
        <v>42000</v>
      </c>
    </row>
    <row r="27" spans="2:16" ht="18" customHeight="1" x14ac:dyDescent="0.25">
      <c r="B27" s="29" t="s">
        <v>140</v>
      </c>
      <c r="C27" s="20">
        <f>'Enterprise Budget'!D28/12</f>
        <v>10000</v>
      </c>
      <c r="D27" s="20">
        <f>'Enterprise Budget'!D28/12</f>
        <v>10000</v>
      </c>
      <c r="E27" s="20">
        <f>'Enterprise Budget'!D28/12</f>
        <v>10000</v>
      </c>
      <c r="F27" s="20">
        <f>'Enterprise Budget'!D28/12</f>
        <v>10000</v>
      </c>
      <c r="G27" s="20">
        <f>'Enterprise Budget'!D28/12</f>
        <v>10000</v>
      </c>
      <c r="H27" s="20">
        <f>'Enterprise Budget'!D28/12</f>
        <v>10000</v>
      </c>
      <c r="I27" s="20">
        <f>'Enterprise Budget'!D28/12</f>
        <v>10000</v>
      </c>
      <c r="J27" s="20">
        <f>'Enterprise Budget'!D28/12</f>
        <v>10000</v>
      </c>
      <c r="K27" s="20">
        <f>'Enterprise Budget'!D28/12</f>
        <v>10000</v>
      </c>
      <c r="L27" s="20">
        <f>'Enterprise Budget'!D28/12</f>
        <v>10000</v>
      </c>
      <c r="M27" s="20">
        <f>'Enterprise Budget'!D28/12</f>
        <v>10000</v>
      </c>
      <c r="N27" s="20">
        <f>'Enterprise Budget'!D28/12</f>
        <v>10000</v>
      </c>
      <c r="P27" s="20">
        <f t="shared" si="3"/>
        <v>120000</v>
      </c>
    </row>
    <row r="28" spans="2:16" ht="18" customHeight="1" x14ac:dyDescent="0.25">
      <c r="B28" s="30" t="s">
        <v>141</v>
      </c>
      <c r="C28" s="24">
        <f>'Enterprise Budget'!D29/12</f>
        <v>1500</v>
      </c>
      <c r="D28" s="24">
        <f>'Enterprise Budget'!D29/12</f>
        <v>1500</v>
      </c>
      <c r="E28" s="24">
        <f>'Enterprise Budget'!D29/12</f>
        <v>1500</v>
      </c>
      <c r="F28" s="24">
        <f>'Enterprise Budget'!D29/12</f>
        <v>1500</v>
      </c>
      <c r="G28" s="24">
        <f>'Enterprise Budget'!D29/12</f>
        <v>1500</v>
      </c>
      <c r="H28" s="24">
        <f>'Enterprise Budget'!D29/12</f>
        <v>1500</v>
      </c>
      <c r="I28" s="24">
        <f>'Enterprise Budget'!D29/12</f>
        <v>1500</v>
      </c>
      <c r="J28" s="24">
        <f>'Enterprise Budget'!D29/12</f>
        <v>1500</v>
      </c>
      <c r="K28" s="24">
        <f>'Enterprise Budget'!D29/12</f>
        <v>1500</v>
      </c>
      <c r="L28" s="24">
        <f>'Enterprise Budget'!D29/12</f>
        <v>1500</v>
      </c>
      <c r="M28" s="24">
        <f>'Enterprise Budget'!D29/12</f>
        <v>1500</v>
      </c>
      <c r="N28" s="24">
        <f>'Enterprise Budget'!D29/12</f>
        <v>1500</v>
      </c>
      <c r="P28" s="24">
        <f t="shared" si="3"/>
        <v>18000</v>
      </c>
    </row>
    <row r="29" spans="2:16" ht="18" customHeight="1" x14ac:dyDescent="0.25">
      <c r="B29" s="29" t="s">
        <v>142</v>
      </c>
      <c r="C29" s="20">
        <f>'Enterprise Budget'!D30/12</f>
        <v>1833.3333333333333</v>
      </c>
      <c r="D29" s="20">
        <f>'Enterprise Budget'!D30/12</f>
        <v>1833.3333333333333</v>
      </c>
      <c r="E29" s="20">
        <f>'Enterprise Budget'!D30/12</f>
        <v>1833.3333333333333</v>
      </c>
      <c r="F29" s="20">
        <f>'Enterprise Budget'!D30/12</f>
        <v>1833.3333333333333</v>
      </c>
      <c r="G29" s="20">
        <f>'Enterprise Budget'!D30/12</f>
        <v>1833.3333333333333</v>
      </c>
      <c r="H29" s="20">
        <f>'Enterprise Budget'!D30/12</f>
        <v>1833.3333333333333</v>
      </c>
      <c r="I29" s="20">
        <f>'Enterprise Budget'!D30/12</f>
        <v>1833.3333333333333</v>
      </c>
      <c r="J29" s="20">
        <f>'Enterprise Budget'!D30/12</f>
        <v>1833.3333333333333</v>
      </c>
      <c r="K29" s="20">
        <f>'Enterprise Budget'!D30/12</f>
        <v>1833.3333333333333</v>
      </c>
      <c r="L29" s="20">
        <f>'Enterprise Budget'!D30/12</f>
        <v>1833.3333333333333</v>
      </c>
      <c r="M29" s="20">
        <f>'Enterprise Budget'!D30/12</f>
        <v>1833.3333333333333</v>
      </c>
      <c r="N29" s="20">
        <f>'Enterprise Budget'!D30/12</f>
        <v>1833.3333333333333</v>
      </c>
      <c r="P29" s="20">
        <f t="shared" si="3"/>
        <v>21999.999999999996</v>
      </c>
    </row>
    <row r="30" spans="2:16" ht="18" customHeight="1" x14ac:dyDescent="0.25">
      <c r="B30" s="30" t="s">
        <v>143</v>
      </c>
      <c r="C30" s="24">
        <f>'Enterprise Budget'!D31/12</f>
        <v>791.66666666666663</v>
      </c>
      <c r="D30" s="24">
        <f>'Enterprise Budget'!D31/12</f>
        <v>791.66666666666663</v>
      </c>
      <c r="E30" s="24">
        <f>'Enterprise Budget'!D31/12</f>
        <v>791.66666666666663</v>
      </c>
      <c r="F30" s="24">
        <f>'Enterprise Budget'!D31/12</f>
        <v>791.66666666666663</v>
      </c>
      <c r="G30" s="24">
        <f>'Enterprise Budget'!D31/12</f>
        <v>791.66666666666663</v>
      </c>
      <c r="H30" s="24">
        <f>'Enterprise Budget'!D31/12</f>
        <v>791.66666666666663</v>
      </c>
      <c r="I30" s="24">
        <f>'Enterprise Budget'!D31/12</f>
        <v>791.66666666666663</v>
      </c>
      <c r="J30" s="24">
        <f>'Enterprise Budget'!D31/12</f>
        <v>791.66666666666663</v>
      </c>
      <c r="K30" s="24">
        <f>'Enterprise Budget'!D31/12</f>
        <v>791.66666666666663</v>
      </c>
      <c r="L30" s="24">
        <f>'Enterprise Budget'!D31/12</f>
        <v>791.66666666666663</v>
      </c>
      <c r="M30" s="24">
        <f>'Enterprise Budget'!D31/12</f>
        <v>791.66666666666663</v>
      </c>
      <c r="N30" s="24">
        <f>'Enterprise Budget'!D31/12</f>
        <v>791.66666666666663</v>
      </c>
      <c r="P30" s="24">
        <f t="shared" si="3"/>
        <v>9500</v>
      </c>
    </row>
    <row r="31" spans="2:16" ht="18" customHeight="1" x14ac:dyDescent="0.25">
      <c r="B31" s="29" t="s">
        <v>144</v>
      </c>
      <c r="C31" s="20">
        <f>'Enterprise Budget'!D32/12</f>
        <v>1166.6666666666667</v>
      </c>
      <c r="D31" s="20">
        <f>'Enterprise Budget'!D32/12</f>
        <v>1166.6666666666667</v>
      </c>
      <c r="E31" s="20">
        <f>'Enterprise Budget'!D32/12</f>
        <v>1166.6666666666667</v>
      </c>
      <c r="F31" s="20">
        <f>'Enterprise Budget'!D32/12</f>
        <v>1166.6666666666667</v>
      </c>
      <c r="G31" s="20">
        <f>'Enterprise Budget'!D32/12</f>
        <v>1166.6666666666667</v>
      </c>
      <c r="H31" s="20">
        <f>'Enterprise Budget'!D32/12</f>
        <v>1166.6666666666667</v>
      </c>
      <c r="I31" s="20">
        <f>'Enterprise Budget'!D32/12</f>
        <v>1166.6666666666667</v>
      </c>
      <c r="J31" s="20">
        <f>'Enterprise Budget'!D32/12</f>
        <v>1166.6666666666667</v>
      </c>
      <c r="K31" s="20">
        <f>'Enterprise Budget'!D32/12</f>
        <v>1166.6666666666667</v>
      </c>
      <c r="L31" s="20">
        <f>'Enterprise Budget'!D32/12</f>
        <v>1166.6666666666667</v>
      </c>
      <c r="M31" s="20">
        <f>'Enterprise Budget'!D32/12</f>
        <v>1166.6666666666667</v>
      </c>
      <c r="N31" s="20">
        <f>'Enterprise Budget'!D32/12</f>
        <v>1166.6666666666667</v>
      </c>
      <c r="P31" s="20">
        <f t="shared" si="3"/>
        <v>13999.999999999998</v>
      </c>
    </row>
    <row r="32" spans="2:16" ht="18" customHeight="1" x14ac:dyDescent="0.25">
      <c r="B32" s="30" t="s">
        <v>145</v>
      </c>
      <c r="C32" s="24">
        <f>'Enterprise Budget'!D33/12</f>
        <v>2333.3333333333335</v>
      </c>
      <c r="D32" s="24">
        <f>'Enterprise Budget'!D33/12</f>
        <v>2333.3333333333335</v>
      </c>
      <c r="E32" s="24">
        <f>'Enterprise Budget'!D33/12</f>
        <v>2333.3333333333335</v>
      </c>
      <c r="F32" s="24">
        <f>'Enterprise Budget'!D33/12</f>
        <v>2333.3333333333335</v>
      </c>
      <c r="G32" s="24">
        <f>'Enterprise Budget'!D33/12</f>
        <v>2333.3333333333335</v>
      </c>
      <c r="H32" s="24">
        <f>'Enterprise Budget'!D33/12</f>
        <v>2333.3333333333335</v>
      </c>
      <c r="I32" s="24">
        <f>'Enterprise Budget'!D33/12</f>
        <v>2333.3333333333335</v>
      </c>
      <c r="J32" s="24">
        <f>'Enterprise Budget'!D33/12</f>
        <v>2333.3333333333335</v>
      </c>
      <c r="K32" s="24">
        <f>'Enterprise Budget'!D33/12</f>
        <v>2333.3333333333335</v>
      </c>
      <c r="L32" s="24">
        <f>'Enterprise Budget'!D33/12</f>
        <v>2333.3333333333335</v>
      </c>
      <c r="M32" s="24">
        <f>'Enterprise Budget'!D33/12</f>
        <v>2333.3333333333335</v>
      </c>
      <c r="N32" s="24">
        <f>'Enterprise Budget'!D33/12</f>
        <v>2333.3333333333335</v>
      </c>
      <c r="P32" s="24">
        <f t="shared" si="3"/>
        <v>27999.999999999996</v>
      </c>
    </row>
    <row r="33" spans="2:16" ht="21.75" customHeight="1" x14ac:dyDescent="0.25">
      <c r="B33" s="9" t="s">
        <v>164</v>
      </c>
      <c r="C33" s="27">
        <f t="shared" ref="C33:P33" si="4">SUM(C25:C32)</f>
        <v>29041.666666666668</v>
      </c>
      <c r="D33" s="27">
        <f t="shared" si="4"/>
        <v>29041.666666666668</v>
      </c>
      <c r="E33" s="27">
        <f t="shared" si="4"/>
        <v>29041.666666666668</v>
      </c>
      <c r="F33" s="27">
        <f t="shared" si="4"/>
        <v>29041.666666666668</v>
      </c>
      <c r="G33" s="27">
        <f t="shared" si="4"/>
        <v>29041.666666666668</v>
      </c>
      <c r="H33" s="27">
        <f t="shared" si="4"/>
        <v>29041.666666666668</v>
      </c>
      <c r="I33" s="27">
        <f t="shared" si="4"/>
        <v>29041.666666666668</v>
      </c>
      <c r="J33" s="27">
        <f t="shared" si="4"/>
        <v>29041.666666666668</v>
      </c>
      <c r="K33" s="27">
        <f t="shared" si="4"/>
        <v>29041.666666666668</v>
      </c>
      <c r="L33" s="27">
        <f t="shared" si="4"/>
        <v>29041.666666666668</v>
      </c>
      <c r="M33" s="27">
        <f t="shared" si="4"/>
        <v>29041.666666666668</v>
      </c>
      <c r="N33" s="27">
        <f t="shared" si="4"/>
        <v>29041.666666666668</v>
      </c>
      <c r="O33" s="27">
        <f t="shared" si="4"/>
        <v>0</v>
      </c>
      <c r="P33" s="27">
        <f t="shared" si="4"/>
        <v>348500</v>
      </c>
    </row>
    <row r="34" spans="2:16" ht="7.5" customHeight="1" x14ac:dyDescent="0.25"/>
    <row r="35" spans="2:16" ht="21.75" customHeight="1" x14ac:dyDescent="0.25">
      <c r="B35" s="31" t="s">
        <v>165</v>
      </c>
      <c r="C35" s="32">
        <f t="shared" ref="C35:P35" si="5">C22+C33</f>
        <v>42056.866666666669</v>
      </c>
      <c r="D35" s="32">
        <f t="shared" si="5"/>
        <v>45310.666666666672</v>
      </c>
      <c r="E35" s="32">
        <f t="shared" si="5"/>
        <v>61579.666666666672</v>
      </c>
      <c r="F35" s="32">
        <f t="shared" si="5"/>
        <v>61579.666666666672</v>
      </c>
      <c r="G35" s="32">
        <f t="shared" si="5"/>
        <v>61579.666666666672</v>
      </c>
      <c r="H35" s="32">
        <f t="shared" si="5"/>
        <v>58325.866666666669</v>
      </c>
      <c r="I35" s="32">
        <f t="shared" si="5"/>
        <v>61579.666666666672</v>
      </c>
      <c r="J35" s="32">
        <f t="shared" si="5"/>
        <v>61579.666666666672</v>
      </c>
      <c r="K35" s="32">
        <f t="shared" si="5"/>
        <v>58325.866666666669</v>
      </c>
      <c r="L35" s="32">
        <f t="shared" si="5"/>
        <v>55072.066666666666</v>
      </c>
      <c r="M35" s="32">
        <f t="shared" si="5"/>
        <v>55072.066666666666</v>
      </c>
      <c r="N35" s="32">
        <f t="shared" si="5"/>
        <v>51818.26666666667</v>
      </c>
      <c r="O35" s="32">
        <f t="shared" si="5"/>
        <v>0</v>
      </c>
      <c r="P35" s="32">
        <f t="shared" si="5"/>
        <v>673880</v>
      </c>
    </row>
    <row r="36" spans="2:16" ht="25.5" customHeight="1" x14ac:dyDescent="0.25">
      <c r="B36" s="35" t="s">
        <v>166</v>
      </c>
      <c r="C36" s="32">
        <f t="shared" ref="C36:P36" si="6">C9-C35</f>
        <v>-42056.866666666669</v>
      </c>
      <c r="D36" s="32">
        <f t="shared" si="6"/>
        <v>-45310.666666666672</v>
      </c>
      <c r="E36" s="32">
        <f t="shared" si="6"/>
        <v>-42118.066666666666</v>
      </c>
      <c r="F36" s="32">
        <f t="shared" si="6"/>
        <v>-12925.666666666672</v>
      </c>
      <c r="G36" s="32">
        <f t="shared" si="6"/>
        <v>35728.333333333328</v>
      </c>
      <c r="H36" s="32">
        <f t="shared" si="6"/>
        <v>77905.333333333343</v>
      </c>
      <c r="I36" s="32">
        <f t="shared" si="6"/>
        <v>112113.13333333335</v>
      </c>
      <c r="J36" s="32">
        <f t="shared" si="6"/>
        <v>94113.133333333346</v>
      </c>
      <c r="K36" s="32">
        <f t="shared" si="6"/>
        <v>77905.333333333343</v>
      </c>
      <c r="L36" s="32">
        <f t="shared" si="6"/>
        <v>61697.533333333326</v>
      </c>
      <c r="M36" s="32">
        <f t="shared" si="6"/>
        <v>13043.53333333334</v>
      </c>
      <c r="N36" s="32">
        <f t="shared" si="6"/>
        <v>-12895.066666666666</v>
      </c>
      <c r="O36" s="32">
        <f t="shared" si="6"/>
        <v>0</v>
      </c>
      <c r="P36" s="32">
        <f t="shared" si="6"/>
        <v>317200.00000000023</v>
      </c>
    </row>
    <row r="37" spans="2:16" ht="19.5" customHeight="1" x14ac:dyDescent="0.25">
      <c r="B37" s="23" t="s">
        <v>167</v>
      </c>
      <c r="C37" s="24">
        <f>C36</f>
        <v>-42056.866666666669</v>
      </c>
      <c r="D37" s="24">
        <f t="shared" ref="D37:N37" si="7">C37+D36</f>
        <v>-87367.53333333334</v>
      </c>
      <c r="E37" s="24">
        <f t="shared" si="7"/>
        <v>-129485.6</v>
      </c>
      <c r="F37" s="24">
        <f t="shared" si="7"/>
        <v>-142411.26666666666</v>
      </c>
      <c r="G37" s="24">
        <f t="shared" si="7"/>
        <v>-106682.93333333333</v>
      </c>
      <c r="H37" s="24">
        <f t="shared" si="7"/>
        <v>-28777.599999999991</v>
      </c>
      <c r="I37" s="24">
        <f t="shared" si="7"/>
        <v>83335.533333333355</v>
      </c>
      <c r="J37" s="24">
        <f t="shared" si="7"/>
        <v>177448.66666666669</v>
      </c>
      <c r="K37" s="24">
        <f t="shared" si="7"/>
        <v>255354.00000000003</v>
      </c>
      <c r="L37" s="24">
        <f t="shared" si="7"/>
        <v>317051.53333333333</v>
      </c>
      <c r="M37" s="24">
        <f t="shared" si="7"/>
        <v>330095.06666666665</v>
      </c>
      <c r="N37" s="24">
        <f t="shared" si="7"/>
        <v>317200</v>
      </c>
      <c r="P37" s="24">
        <f>N37</f>
        <v>317200</v>
      </c>
    </row>
    <row r="38" spans="2:16" ht="7.5" customHeight="1" x14ac:dyDescent="0.25"/>
    <row r="39" spans="2:16" ht="18" customHeight="1" x14ac:dyDescent="0.25">
      <c r="B39" s="19" t="s">
        <v>168</v>
      </c>
      <c r="C39" s="16">
        <v>15000</v>
      </c>
      <c r="D39" s="20">
        <f t="shared" ref="D39:N39" si="8">C40</f>
        <v>-27056.866666666669</v>
      </c>
      <c r="E39" s="20">
        <f t="shared" si="8"/>
        <v>-72367.53333333334</v>
      </c>
      <c r="F39" s="20">
        <f t="shared" si="8"/>
        <v>-114485.6</v>
      </c>
      <c r="G39" s="20">
        <f t="shared" si="8"/>
        <v>-127411.26666666668</v>
      </c>
      <c r="H39" s="20">
        <f t="shared" si="8"/>
        <v>-91682.933333333349</v>
      </c>
      <c r="I39" s="20">
        <f t="shared" si="8"/>
        <v>-13777.600000000006</v>
      </c>
      <c r="J39" s="20">
        <f t="shared" si="8"/>
        <v>98335.53333333334</v>
      </c>
      <c r="K39" s="20">
        <f t="shared" si="8"/>
        <v>192448.66666666669</v>
      </c>
      <c r="L39" s="20">
        <f t="shared" si="8"/>
        <v>270354</v>
      </c>
      <c r="M39" s="20">
        <f t="shared" si="8"/>
        <v>332051.53333333333</v>
      </c>
      <c r="N39" s="20">
        <f t="shared" si="8"/>
        <v>345095.06666666665</v>
      </c>
    </row>
    <row r="40" spans="2:16" ht="18" customHeight="1" x14ac:dyDescent="0.25">
      <c r="B40" s="19" t="s">
        <v>169</v>
      </c>
      <c r="C40" s="24">
        <f t="shared" ref="C40:N40" si="9">C39+C36</f>
        <v>-27056.866666666669</v>
      </c>
      <c r="D40" s="24">
        <f t="shared" si="9"/>
        <v>-72367.53333333334</v>
      </c>
      <c r="E40" s="24">
        <f t="shared" si="9"/>
        <v>-114485.6</v>
      </c>
      <c r="F40" s="24">
        <f t="shared" si="9"/>
        <v>-127411.26666666668</v>
      </c>
      <c r="G40" s="24">
        <f t="shared" si="9"/>
        <v>-91682.933333333349</v>
      </c>
      <c r="H40" s="24">
        <f t="shared" si="9"/>
        <v>-13777.600000000006</v>
      </c>
      <c r="I40" s="24">
        <f t="shared" si="9"/>
        <v>98335.53333333334</v>
      </c>
      <c r="J40" s="24">
        <f t="shared" si="9"/>
        <v>192448.66666666669</v>
      </c>
      <c r="K40" s="24">
        <f t="shared" si="9"/>
        <v>270354</v>
      </c>
      <c r="L40" s="24">
        <f t="shared" si="9"/>
        <v>332051.53333333333</v>
      </c>
      <c r="M40" s="24">
        <f t="shared" si="9"/>
        <v>345095.06666666665</v>
      </c>
      <c r="N40" s="24">
        <f t="shared" si="9"/>
        <v>332200</v>
      </c>
      <c r="P40" s="24">
        <f>N40</f>
        <v>332200</v>
      </c>
    </row>
  </sheetData>
  <mergeCells count="5">
    <mergeCell ref="B1:P1"/>
    <mergeCell ref="B2:P2"/>
    <mergeCell ref="C5:P5"/>
    <mergeCell ref="C11:P11"/>
    <mergeCell ref="C24:P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9"/>
  <sheetViews>
    <sheetView zoomScaleNormal="100" workbookViewId="0"/>
  </sheetViews>
  <sheetFormatPr defaultColWidth="8.7109375" defaultRowHeight="15" x14ac:dyDescent="0.25"/>
  <cols>
    <col min="1" max="1" width="3" customWidth="1"/>
    <col min="2" max="2" width="38" customWidth="1"/>
    <col min="3" max="4" width="22" customWidth="1"/>
    <col min="5" max="5" width="30" customWidth="1"/>
  </cols>
  <sheetData>
    <row r="1" spans="2:5" ht="27.75" customHeight="1" x14ac:dyDescent="0.25">
      <c r="B1" s="8" t="s">
        <v>170</v>
      </c>
      <c r="C1" s="8"/>
      <c r="D1" s="8"/>
      <c r="E1" s="8"/>
    </row>
    <row r="2" spans="2:5" ht="15.75" customHeight="1" x14ac:dyDescent="0.25">
      <c r="B2" s="7" t="s">
        <v>171</v>
      </c>
      <c r="C2" s="7"/>
      <c r="D2" s="7"/>
      <c r="E2" s="7"/>
    </row>
    <row r="4" spans="2:5" ht="19.5" customHeight="1" x14ac:dyDescent="0.25">
      <c r="B4" s="5" t="s">
        <v>172</v>
      </c>
      <c r="C4" s="5"/>
      <c r="D4" s="5"/>
      <c r="E4" s="5"/>
    </row>
    <row r="5" spans="2:5" ht="19.5" customHeight="1" x14ac:dyDescent="0.25">
      <c r="B5" s="23" t="s">
        <v>173</v>
      </c>
      <c r="C5" s="24">
        <f>'Enterprise Budget'!D34</f>
        <v>348500</v>
      </c>
      <c r="E5" s="26" t="s">
        <v>174</v>
      </c>
    </row>
    <row r="6" spans="2:5" ht="19.5" customHeight="1" x14ac:dyDescent="0.25">
      <c r="B6" s="19" t="s">
        <v>175</v>
      </c>
      <c r="C6" s="20">
        <f>SUM(Assumptions!C24:C33)</f>
        <v>319</v>
      </c>
      <c r="E6" s="22" t="s">
        <v>176</v>
      </c>
    </row>
    <row r="7" spans="2:5" ht="19.5" customHeight="1" x14ac:dyDescent="0.25">
      <c r="B7" s="23" t="s">
        <v>177</v>
      </c>
      <c r="C7" s="24">
        <f>(Assumptions!C14*Assumptions!C19)+(Assumptions!C15*Assumptions!C20)</f>
        <v>954</v>
      </c>
      <c r="E7" s="26" t="s">
        <v>178</v>
      </c>
    </row>
    <row r="8" spans="2:5" ht="19.5" customHeight="1" x14ac:dyDescent="0.25">
      <c r="B8" s="19" t="s">
        <v>179</v>
      </c>
      <c r="C8" s="20">
        <f>C7-C6</f>
        <v>635</v>
      </c>
      <c r="E8" s="22" t="s">
        <v>180</v>
      </c>
    </row>
    <row r="9" spans="2:5" ht="19.5" customHeight="1" x14ac:dyDescent="0.25">
      <c r="B9" s="23" t="s">
        <v>181</v>
      </c>
      <c r="C9" s="37">
        <f>IFERROR(C8/C7,0)</f>
        <v>0.66561844863731656</v>
      </c>
      <c r="E9" s="26" t="s">
        <v>182</v>
      </c>
    </row>
    <row r="10" spans="2:5" ht="19.5" customHeight="1" x14ac:dyDescent="0.25">
      <c r="B10" s="19" t="s">
        <v>183</v>
      </c>
      <c r="C10" s="39">
        <f>IFERROR(C5/C8,0)</f>
        <v>548.81889763779532</v>
      </c>
      <c r="E10" s="22" t="s">
        <v>184</v>
      </c>
    </row>
    <row r="11" spans="2:5" ht="19.5" customHeight="1" x14ac:dyDescent="0.25">
      <c r="B11" s="23" t="s">
        <v>185</v>
      </c>
      <c r="C11" s="40">
        <f>IFERROR(C10/Assumptions!C12,0)</f>
        <v>6.4566929133858268</v>
      </c>
      <c r="E11" s="26" t="s">
        <v>186</v>
      </c>
    </row>
    <row r="12" spans="2:5" ht="19.5" customHeight="1" x14ac:dyDescent="0.25">
      <c r="B12" s="19" t="s">
        <v>187</v>
      </c>
      <c r="C12" s="20">
        <f>IFERROR((C5+C6*Assumptions!C13)/Assumptions!C13,0)</f>
        <v>660.66666666666663</v>
      </c>
      <c r="E12" s="22" t="s">
        <v>188</v>
      </c>
    </row>
    <row r="13" spans="2:5" ht="19.5" customHeight="1" x14ac:dyDescent="0.25">
      <c r="B13" s="23" t="s">
        <v>189</v>
      </c>
      <c r="C13" s="40">
        <f>Assumptions!C13-C10</f>
        <v>471.18110236220468</v>
      </c>
      <c r="E13" s="26" t="s">
        <v>190</v>
      </c>
    </row>
    <row r="14" spans="2:5" ht="19.5" customHeight="1" x14ac:dyDescent="0.25">
      <c r="B14" s="19" t="s">
        <v>191</v>
      </c>
      <c r="C14" s="36">
        <f>IFERROR(C13/Assumptions!C13,0)</f>
        <v>0.46194225721784771</v>
      </c>
      <c r="E14" s="22" t="s">
        <v>192</v>
      </c>
    </row>
    <row r="15" spans="2:5" ht="7.5" customHeight="1" x14ac:dyDescent="0.25"/>
    <row r="16" spans="2:5" ht="19.5" customHeight="1" x14ac:dyDescent="0.25">
      <c r="B16" s="5" t="s">
        <v>193</v>
      </c>
      <c r="C16" s="5"/>
      <c r="D16" s="5"/>
      <c r="E16" s="5"/>
    </row>
    <row r="17" spans="2:7" ht="15" customHeight="1" x14ac:dyDescent="0.25">
      <c r="B17" s="41" t="s">
        <v>194</v>
      </c>
      <c r="C17" s="42">
        <v>65</v>
      </c>
      <c r="D17" s="42">
        <v>75</v>
      </c>
      <c r="E17" s="42">
        <v>85</v>
      </c>
      <c r="F17" s="42">
        <v>95</v>
      </c>
      <c r="G17" s="42">
        <v>105</v>
      </c>
    </row>
    <row r="18" spans="2:7" ht="19.5" customHeight="1" x14ac:dyDescent="0.25">
      <c r="B18" s="19" t="s">
        <v>195</v>
      </c>
      <c r="C18" s="20">
        <f>(750*Assumptions!C14+750*0.65*Assumptions!C15)*65*Assumptions!C7-C6*65*Assumptions!C7-C5</f>
        <v>-60582.5</v>
      </c>
      <c r="D18" s="20">
        <f>(750*Assumptions!C14+750*0.65*Assumptions!C15)*75*Assumptions!C7-C6*75*Assumptions!C7-C5</f>
        <v>-16287.5</v>
      </c>
      <c r="E18" s="20">
        <f>(750*Assumptions!C14+750*0.65*Assumptions!C15)*85*Assumptions!C7-C6*85*Assumptions!C7-C5</f>
        <v>28007.5</v>
      </c>
      <c r="F18" s="20">
        <f>(750*Assumptions!C14+750*0.65*Assumptions!C15)*95*Assumptions!C7-C6*95*Assumptions!C7-C5</f>
        <v>72302.5</v>
      </c>
      <c r="G18" s="20">
        <f>(750*Assumptions!C14+750*0.65*Assumptions!C15)*105*Assumptions!C7-C6*105*Assumptions!C7-C5</f>
        <v>116597.5</v>
      </c>
    </row>
    <row r="19" spans="2:7" ht="19.5" customHeight="1" x14ac:dyDescent="0.25">
      <c r="B19" s="23" t="s">
        <v>196</v>
      </c>
      <c r="C19" s="24">
        <f>(850*Assumptions!C14+850*0.65*Assumptions!C15)*65*Assumptions!C7-C6*65*Assumptions!C7-C5</f>
        <v>10982.5</v>
      </c>
      <c r="D19" s="24">
        <f>(850*Assumptions!C14+850*0.65*Assumptions!C15)*75*Assumptions!C7-C6*75*Assumptions!C7-C5</f>
        <v>66287.5</v>
      </c>
      <c r="E19" s="24">
        <f>(850*Assumptions!C14+850*0.65*Assumptions!C15)*85*Assumptions!C7-C6*85*Assumptions!C7-C5</f>
        <v>121592.5</v>
      </c>
      <c r="F19" s="24">
        <f>(850*Assumptions!C14+850*0.65*Assumptions!C15)*95*Assumptions!C7-C6*95*Assumptions!C7-C5</f>
        <v>176897.5</v>
      </c>
      <c r="G19" s="24">
        <f>(850*Assumptions!C14+850*0.65*Assumptions!C15)*105*Assumptions!C7-C6*105*Assumptions!C7-C5</f>
        <v>232202.5</v>
      </c>
    </row>
    <row r="20" spans="2:7" ht="19.5" customHeight="1" x14ac:dyDescent="0.25">
      <c r="B20" s="19" t="s">
        <v>197</v>
      </c>
      <c r="C20" s="20">
        <f>(950*Assumptions!C14+950*0.65*Assumptions!C15)*65*Assumptions!C7-C6*65*Assumptions!C7-C5</f>
        <v>82547.5</v>
      </c>
      <c r="D20" s="20">
        <f>(950*Assumptions!C14+950*0.65*Assumptions!C15)*75*Assumptions!C7-C6*75*Assumptions!C7-C5</f>
        <v>148862.5</v>
      </c>
      <c r="E20" s="20">
        <f>(950*Assumptions!C14+950*0.65*Assumptions!C15)*85*Assumptions!C7-C6*85*Assumptions!C7-C5</f>
        <v>215177.5</v>
      </c>
      <c r="F20" s="20">
        <f>(950*Assumptions!C14+950*0.65*Assumptions!C15)*95*Assumptions!C7-C6*95*Assumptions!C7-C5</f>
        <v>281492.5</v>
      </c>
      <c r="G20" s="20">
        <f>(950*Assumptions!C14+950*0.65*Assumptions!C15)*105*Assumptions!C7-C6*105*Assumptions!C7-C5</f>
        <v>347807.5</v>
      </c>
    </row>
    <row r="21" spans="2:7" ht="19.5" customHeight="1" x14ac:dyDescent="0.25">
      <c r="B21" s="23" t="s">
        <v>198</v>
      </c>
      <c r="C21" s="24">
        <f>(1050*Assumptions!C14+1050*0.65*Assumptions!C15)*65*Assumptions!C7-C6*65*Assumptions!C7-C5</f>
        <v>154112.5</v>
      </c>
      <c r="D21" s="24">
        <f>(1050*Assumptions!C14+1050*0.65*Assumptions!C15)*75*Assumptions!C7-C6*75*Assumptions!C7-C5</f>
        <v>231437.5</v>
      </c>
      <c r="E21" s="24">
        <f>(1050*Assumptions!C14+1050*0.65*Assumptions!C15)*85*Assumptions!C7-C6*85*Assumptions!C7-C5</f>
        <v>308762.5</v>
      </c>
      <c r="F21" s="24">
        <f>(1050*Assumptions!C14+1050*0.65*Assumptions!C15)*95*Assumptions!C7-C6*95*Assumptions!C7-C5</f>
        <v>386087.5</v>
      </c>
      <c r="G21" s="24">
        <f>(1050*Assumptions!C14+1050*0.65*Assumptions!C15)*105*Assumptions!C7-C6*105*Assumptions!C7-C5</f>
        <v>463412.5</v>
      </c>
    </row>
    <row r="22" spans="2:7" ht="19.5" customHeight="1" x14ac:dyDescent="0.25">
      <c r="B22" s="19" t="s">
        <v>199</v>
      </c>
      <c r="C22" s="20">
        <f>(1150*Assumptions!C14+1150*0.65*Assumptions!C15)*65*Assumptions!C7-C6*65*Assumptions!C7-C5</f>
        <v>225677.5</v>
      </c>
      <c r="D22" s="20">
        <f>(1150*Assumptions!C14+1150*0.65*Assumptions!C15)*75*Assumptions!C7-C6*75*Assumptions!C7-C5</f>
        <v>314012.5</v>
      </c>
      <c r="E22" s="20">
        <f>(1150*Assumptions!C14+1150*0.65*Assumptions!C15)*85*Assumptions!C7-C6*85*Assumptions!C7-C5</f>
        <v>402347.5</v>
      </c>
      <c r="F22" s="20">
        <f>(1150*Assumptions!C14+1150*0.65*Assumptions!C15)*95*Assumptions!C7-C6*95*Assumptions!C7-C5</f>
        <v>490682.5</v>
      </c>
      <c r="G22" s="20">
        <f>(1150*Assumptions!C14+1150*0.65*Assumptions!C15)*105*Assumptions!C7-C6*105*Assumptions!C7-C5</f>
        <v>579017.5</v>
      </c>
    </row>
    <row r="24" spans="2:7" ht="19.5" customHeight="1" x14ac:dyDescent="0.25">
      <c r="B24" s="5" t="s">
        <v>200</v>
      </c>
      <c r="C24" s="5"/>
      <c r="D24" s="5"/>
      <c r="E24" s="5"/>
    </row>
    <row r="25" spans="2:7" ht="18" customHeight="1" x14ac:dyDescent="0.25">
      <c r="B25" s="3" t="s">
        <v>201</v>
      </c>
      <c r="C25" s="3"/>
      <c r="D25" s="3"/>
      <c r="E25" s="3"/>
    </row>
    <row r="26" spans="2:7" ht="18" customHeight="1" x14ac:dyDescent="0.25">
      <c r="B26" s="2" t="s">
        <v>202</v>
      </c>
      <c r="C26" s="2"/>
      <c r="D26" s="2"/>
      <c r="E26" s="2"/>
    </row>
    <row r="27" spans="2:7" ht="18" customHeight="1" x14ac:dyDescent="0.25">
      <c r="B27" s="3" t="s">
        <v>203</v>
      </c>
      <c r="C27" s="3"/>
      <c r="D27" s="3"/>
      <c r="E27" s="3"/>
    </row>
    <row r="28" spans="2:7" ht="18" customHeight="1" x14ac:dyDescent="0.25">
      <c r="B28" s="2" t="s">
        <v>204</v>
      </c>
      <c r="C28" s="2"/>
      <c r="D28" s="2"/>
      <c r="E28" s="2"/>
    </row>
    <row r="29" spans="2:7" ht="18" customHeight="1" x14ac:dyDescent="0.25">
      <c r="B29" s="3" t="s">
        <v>205</v>
      </c>
      <c r="C29" s="3"/>
      <c r="D29" s="3"/>
      <c r="E29" s="3"/>
    </row>
  </sheetData>
  <mergeCells count="10">
    <mergeCell ref="B25:E25"/>
    <mergeCell ref="B26:E26"/>
    <mergeCell ref="B27:E27"/>
    <mergeCell ref="B28:E28"/>
    <mergeCell ref="B29:E29"/>
    <mergeCell ref="B1:E1"/>
    <mergeCell ref="B2:E2"/>
    <mergeCell ref="B4:E4"/>
    <mergeCell ref="B16:E16"/>
    <mergeCell ref="B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22"/>
  <sheetViews>
    <sheetView zoomScaleNormal="100" workbookViewId="0"/>
  </sheetViews>
  <sheetFormatPr defaultColWidth="8.7109375" defaultRowHeight="15" x14ac:dyDescent="0.25"/>
  <cols>
    <col min="1" max="1" width="3" customWidth="1"/>
    <col min="2" max="2" width="38" customWidth="1"/>
    <col min="3" max="3" width="22" customWidth="1"/>
    <col min="4" max="4" width="35" customWidth="1"/>
  </cols>
  <sheetData>
    <row r="1" spans="2:4" ht="27.75" customHeight="1" x14ac:dyDescent="0.25">
      <c r="B1" s="8" t="s">
        <v>206</v>
      </c>
      <c r="C1" s="8"/>
      <c r="D1" s="8"/>
    </row>
    <row r="2" spans="2:4" ht="15.75" customHeight="1" x14ac:dyDescent="0.25">
      <c r="B2" s="7" t="s">
        <v>207</v>
      </c>
      <c r="C2" s="7"/>
      <c r="D2" s="7"/>
    </row>
    <row r="4" spans="2:4" ht="19.5" customHeight="1" x14ac:dyDescent="0.25">
      <c r="B4" s="5" t="s">
        <v>208</v>
      </c>
      <c r="C4" s="5"/>
      <c r="D4" s="5"/>
    </row>
    <row r="5" spans="2:4" ht="19.5" customHeight="1" x14ac:dyDescent="0.25">
      <c r="B5" s="6" t="s">
        <v>209</v>
      </c>
      <c r="C5" s="6"/>
      <c r="D5" s="6"/>
    </row>
    <row r="6" spans="2:4" ht="19.5" customHeight="1" x14ac:dyDescent="0.25">
      <c r="B6" s="43" t="s">
        <v>210</v>
      </c>
      <c r="C6" s="20">
        <f>3*Assumptions!C12*Assumptions!C14*Assumptions!C19</f>
        <v>219555</v>
      </c>
      <c r="D6" s="22" t="s">
        <v>211</v>
      </c>
    </row>
    <row r="7" spans="2:4" ht="19.5" customHeight="1" x14ac:dyDescent="0.25">
      <c r="B7" s="44" t="s">
        <v>212</v>
      </c>
      <c r="C7" s="24">
        <f>3*Assumptions!C12*Assumptions!C15*Assumptions!C20</f>
        <v>23715</v>
      </c>
      <c r="D7" s="26" t="s">
        <v>213</v>
      </c>
    </row>
    <row r="8" spans="2:4" ht="19.5" customHeight="1" x14ac:dyDescent="0.25">
      <c r="B8" s="43" t="s">
        <v>214</v>
      </c>
      <c r="C8" s="20">
        <f>0.05*3*Assumptions!C12*SUM(Assumptions!C24:C33)</f>
        <v>4067.2500000000005</v>
      </c>
      <c r="D8" s="22" t="s">
        <v>215</v>
      </c>
    </row>
    <row r="9" spans="2:4" ht="21.75" customHeight="1" x14ac:dyDescent="0.25">
      <c r="B9" s="9" t="s">
        <v>216</v>
      </c>
      <c r="C9" s="27">
        <f>SUM(C6:C8)</f>
        <v>247337.25</v>
      </c>
    </row>
    <row r="10" spans="2:4" ht="7.5" customHeight="1" x14ac:dyDescent="0.25"/>
    <row r="11" spans="2:4" ht="19.5" customHeight="1" x14ac:dyDescent="0.25">
      <c r="B11" s="6" t="s">
        <v>217</v>
      </c>
      <c r="C11" s="6"/>
      <c r="D11" s="6"/>
    </row>
    <row r="12" spans="2:4" ht="19.5" customHeight="1" x14ac:dyDescent="0.25">
      <c r="B12" s="43" t="s">
        <v>218</v>
      </c>
      <c r="C12" s="20">
        <f>3*Assumptions!C12*SUM(Assumptions!C24:C33)</f>
        <v>81345</v>
      </c>
      <c r="D12" s="22" t="s">
        <v>219</v>
      </c>
    </row>
    <row r="13" spans="2:4" ht="19.5" customHeight="1" x14ac:dyDescent="0.25">
      <c r="B13" s="44" t="s">
        <v>220</v>
      </c>
      <c r="C13" s="24">
        <f>3*7500</f>
        <v>22500</v>
      </c>
      <c r="D13" s="26" t="s">
        <v>221</v>
      </c>
    </row>
    <row r="14" spans="2:4" ht="19.5" customHeight="1" x14ac:dyDescent="0.25">
      <c r="B14" s="43" t="s">
        <v>222</v>
      </c>
      <c r="C14" s="16">
        <f>55000</f>
        <v>55000</v>
      </c>
      <c r="D14" s="22" t="s">
        <v>223</v>
      </c>
    </row>
    <row r="15" spans="2:4" ht="19.5" customHeight="1" x14ac:dyDescent="0.25">
      <c r="B15" s="44" t="s">
        <v>224</v>
      </c>
      <c r="C15" s="24">
        <f>300000*(0.07/(1-(1+0.07)^-10))</f>
        <v>42713.250818209417</v>
      </c>
      <c r="D15" s="26" t="s">
        <v>225</v>
      </c>
    </row>
    <row r="16" spans="2:4" ht="19.5" customHeight="1" x14ac:dyDescent="0.25">
      <c r="B16" s="43" t="s">
        <v>226</v>
      </c>
      <c r="C16" s="20">
        <f>80000/10</f>
        <v>8000</v>
      </c>
      <c r="D16" s="22" t="s">
        <v>227</v>
      </c>
    </row>
    <row r="17" spans="2:4" ht="21.75" customHeight="1" x14ac:dyDescent="0.25">
      <c r="B17" s="9" t="s">
        <v>228</v>
      </c>
      <c r="C17" s="27">
        <f>SUM(C12:C16)</f>
        <v>209558.25081820943</v>
      </c>
    </row>
    <row r="18" spans="2:4" ht="7.5" customHeight="1" x14ac:dyDescent="0.25"/>
    <row r="19" spans="2:4" ht="27.75" customHeight="1" x14ac:dyDescent="0.25">
      <c r="B19" s="35" t="s">
        <v>229</v>
      </c>
      <c r="C19" s="32">
        <f>C9-C17</f>
        <v>37778.999181790568</v>
      </c>
      <c r="D19" s="34"/>
    </row>
    <row r="20" spans="2:4" ht="7.5" customHeight="1" x14ac:dyDescent="0.25"/>
    <row r="21" spans="2:4" ht="19.5" customHeight="1" x14ac:dyDescent="0.25">
      <c r="B21" s="5" t="s">
        <v>230</v>
      </c>
      <c r="C21" s="5"/>
      <c r="D21" s="5"/>
    </row>
    <row r="22" spans="2:4" ht="39.75" customHeight="1" x14ac:dyDescent="0.25">
      <c r="B22" s="1" t="e">
        <f>IF(C19&gt;0,"✓ PROCEED – The expansion generates a positive net change of "&amp;TEXT(C19,"CAD $#,##0")&amp;" per year. The investment is financially justified.","✗ DO NOT PROCEED – The expansion reduces income by "&amp;TEXT(ABS(C19),"CAD $#,##0")&amp;" per year. Re-evaluate costs or pricing strategy.")</f>
        <v>#VALUE!</v>
      </c>
      <c r="C22" s="1"/>
      <c r="D22" s="1"/>
    </row>
  </sheetData>
  <mergeCells count="7">
    <mergeCell ref="B21:D21"/>
    <mergeCell ref="B22:D22"/>
    <mergeCell ref="B1:D1"/>
    <mergeCell ref="B2:D2"/>
    <mergeCell ref="B4:D4"/>
    <mergeCell ref="B5:D5"/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8"/>
  <sheetViews>
    <sheetView tabSelected="1" zoomScaleNormal="100" workbookViewId="0">
      <selection activeCell="B1" sqref="B1:H1"/>
    </sheetView>
  </sheetViews>
  <sheetFormatPr defaultColWidth="8.7109375" defaultRowHeight="15" x14ac:dyDescent="0.25"/>
  <cols>
    <col min="1" max="1" width="3" customWidth="1"/>
    <col min="2" max="2" width="36" customWidth="1"/>
    <col min="3" max="8" width="18" customWidth="1"/>
  </cols>
  <sheetData>
    <row r="1" spans="2:8" ht="27.75" customHeight="1" x14ac:dyDescent="0.25">
      <c r="B1" s="8" t="s">
        <v>231</v>
      </c>
      <c r="C1" s="8"/>
      <c r="D1" s="8"/>
      <c r="E1" s="8"/>
      <c r="F1" s="8"/>
      <c r="G1" s="8"/>
      <c r="H1" s="8"/>
    </row>
    <row r="3" spans="2:8" ht="19.5" customHeight="1" x14ac:dyDescent="0.25">
      <c r="B3" s="5" t="s">
        <v>232</v>
      </c>
      <c r="C3" s="5"/>
      <c r="D3" s="5"/>
      <c r="E3" s="5"/>
      <c r="F3" s="5"/>
      <c r="G3" s="5"/>
      <c r="H3" s="5"/>
    </row>
    <row r="4" spans="2:8" ht="21" customHeight="1" x14ac:dyDescent="0.25">
      <c r="B4" s="19" t="s">
        <v>233</v>
      </c>
      <c r="C4" s="15">
        <v>0.05</v>
      </c>
      <c r="H4" s="22" t="s">
        <v>234</v>
      </c>
    </row>
    <row r="5" spans="2:8" ht="21" customHeight="1" x14ac:dyDescent="0.25">
      <c r="B5" s="23" t="s">
        <v>235</v>
      </c>
      <c r="C5" s="15">
        <v>0.04</v>
      </c>
      <c r="H5" s="26" t="s">
        <v>236</v>
      </c>
    </row>
    <row r="6" spans="2:8" ht="21" customHeight="1" x14ac:dyDescent="0.25">
      <c r="B6" s="19" t="s">
        <v>237</v>
      </c>
      <c r="C6" s="15">
        <v>0.03</v>
      </c>
      <c r="H6" s="22" t="s">
        <v>238</v>
      </c>
    </row>
    <row r="7" spans="2:8" ht="23.25" customHeight="1" x14ac:dyDescent="0.25">
      <c r="B7" s="23" t="s">
        <v>239</v>
      </c>
      <c r="C7" s="45">
        <f>'Enterprise Budget'!D9</f>
        <v>991080</v>
      </c>
      <c r="H7" s="26" t="s">
        <v>240</v>
      </c>
    </row>
    <row r="8" spans="2:8" ht="24.75" customHeight="1" x14ac:dyDescent="0.25">
      <c r="B8" s="19" t="s">
        <v>241</v>
      </c>
      <c r="C8" s="45">
        <f>'Enterprise Budget'!D22</f>
        <v>325380</v>
      </c>
      <c r="H8" s="22" t="s">
        <v>240</v>
      </c>
    </row>
    <row r="9" spans="2:8" ht="21.75" customHeight="1" x14ac:dyDescent="0.25">
      <c r="B9" s="23" t="s">
        <v>242</v>
      </c>
      <c r="C9" s="45">
        <f>'Enterprise Budget'!D34</f>
        <v>348500</v>
      </c>
      <c r="H9" s="26" t="s">
        <v>240</v>
      </c>
    </row>
    <row r="10" spans="2:8" ht="9.75" customHeight="1" x14ac:dyDescent="0.25"/>
    <row r="11" spans="2:8" ht="27.75" customHeight="1" x14ac:dyDescent="0.25">
      <c r="B11" s="38" t="s">
        <v>243</v>
      </c>
      <c r="C11" s="17" t="s">
        <v>244</v>
      </c>
      <c r="D11" s="17" t="s">
        <v>245</v>
      </c>
      <c r="E11" s="17" t="s">
        <v>246</v>
      </c>
      <c r="F11" s="17" t="s">
        <v>247</v>
      </c>
      <c r="G11" s="17" t="s">
        <v>248</v>
      </c>
      <c r="H11" s="38" t="s">
        <v>249</v>
      </c>
    </row>
    <row r="12" spans="2:8" ht="19.5" customHeight="1" x14ac:dyDescent="0.25">
      <c r="B12" s="46" t="s">
        <v>250</v>
      </c>
      <c r="C12" s="47">
        <f>$C$7</f>
        <v>991080</v>
      </c>
      <c r="D12" s="48">
        <f>C12*(1+$C$4)</f>
        <v>1040634</v>
      </c>
      <c r="E12" s="48">
        <f>D12*(1+$C$4)</f>
        <v>1092665.7</v>
      </c>
      <c r="F12" s="48">
        <f>E12*(1+$C$4)</f>
        <v>1147298.9850000001</v>
      </c>
      <c r="G12" s="48">
        <f>F12*(1+$C$4)</f>
        <v>1204663.9342500002</v>
      </c>
      <c r="H12" s="48">
        <f>IFERROR((G12/C12)^(1/4)-1,0)</f>
        <v>5.0000000000000044E-2</v>
      </c>
    </row>
    <row r="13" spans="2:8" ht="19.5" customHeight="1" x14ac:dyDescent="0.25">
      <c r="B13" s="23" t="s">
        <v>251</v>
      </c>
      <c r="C13" s="24">
        <f>$C$8</f>
        <v>325380</v>
      </c>
      <c r="D13" s="37">
        <f>C13*(1+$C$5)</f>
        <v>338395.2</v>
      </c>
      <c r="E13" s="37">
        <f>D13*(1+$C$5)</f>
        <v>351931.00800000003</v>
      </c>
      <c r="F13" s="37">
        <f>E13*(1+$C$5)</f>
        <v>366008.24832000007</v>
      </c>
      <c r="G13" s="37">
        <f>F13*(1+$C$5)</f>
        <v>380648.5782528001</v>
      </c>
    </row>
    <row r="14" spans="2:8" ht="19.5" customHeight="1" x14ac:dyDescent="0.25">
      <c r="B14" s="46" t="s">
        <v>252</v>
      </c>
      <c r="C14" s="47">
        <f>C12-C13</f>
        <v>665700</v>
      </c>
      <c r="D14" s="47">
        <f>D12-D13</f>
        <v>702238.8</v>
      </c>
      <c r="E14" s="47">
        <f>E12-E13</f>
        <v>740734.69199999992</v>
      </c>
      <c r="F14" s="47">
        <f>F12-F13</f>
        <v>781290.73668000009</v>
      </c>
      <c r="G14" s="47">
        <f>G12-G13</f>
        <v>824015.35599720012</v>
      </c>
      <c r="H14" s="48">
        <f>IFERROR((G14/C14)^(1/4)-1,0)</f>
        <v>5.4785587590817864E-2</v>
      </c>
    </row>
    <row r="15" spans="2:8" ht="19.5" customHeight="1" x14ac:dyDescent="0.25">
      <c r="B15" s="23" t="s">
        <v>149</v>
      </c>
      <c r="C15" s="37">
        <f>IFERROR(C14/C12,0)</f>
        <v>0.67169148807361667</v>
      </c>
      <c r="D15" s="37">
        <f>IFERROR(D14/D12,0)</f>
        <v>0.67481823580624889</v>
      </c>
      <c r="E15" s="37">
        <f>IFERROR(E14/E12,0)</f>
        <v>0.67791520498904645</v>
      </c>
      <c r="F15" s="37">
        <f>IFERROR(F14/F12,0)</f>
        <v>0.68098267922724609</v>
      </c>
      <c r="G15" s="37">
        <f>IFERROR(G14/G12,0)</f>
        <v>0.6840209394250818</v>
      </c>
    </row>
    <row r="16" spans="2:8" ht="19.5" customHeight="1" x14ac:dyDescent="0.25">
      <c r="B16" s="19" t="s">
        <v>253</v>
      </c>
      <c r="C16" s="20">
        <f>$C$9</f>
        <v>348500</v>
      </c>
      <c r="D16" s="36">
        <f>C16*(1+$C$6)</f>
        <v>358955</v>
      </c>
      <c r="E16" s="36">
        <f>D16*(1+$C$6)</f>
        <v>369723.65</v>
      </c>
      <c r="F16" s="36">
        <f>E16*(1+$C$6)</f>
        <v>380815.35950000002</v>
      </c>
      <c r="G16" s="36">
        <f>F16*(1+$C$6)</f>
        <v>392239.82028500002</v>
      </c>
    </row>
    <row r="17" spans="2:8" ht="19.5" customHeight="1" x14ac:dyDescent="0.25">
      <c r="B17" s="46" t="s">
        <v>254</v>
      </c>
      <c r="C17" s="47">
        <f>C14-C16</f>
        <v>317200</v>
      </c>
      <c r="D17" s="47">
        <f>D14-D16</f>
        <v>343283.80000000005</v>
      </c>
      <c r="E17" s="47">
        <f>E14-E16</f>
        <v>371011.0419999999</v>
      </c>
      <c r="F17" s="47">
        <f>F14-F16</f>
        <v>400475.37718000007</v>
      </c>
      <c r="G17" s="47">
        <f>G14-G16</f>
        <v>431775.5357122001</v>
      </c>
      <c r="H17" s="48">
        <f>IFERROR((G17/C17)^(1/4)-1,0)</f>
        <v>8.0142894976478418E-2</v>
      </c>
    </row>
    <row r="18" spans="2:8" ht="19.5" customHeight="1" x14ac:dyDescent="0.25">
      <c r="B18" s="19" t="s">
        <v>255</v>
      </c>
      <c r="C18" s="36">
        <f>IFERROR(C17/C12,0)</f>
        <v>0.3200548896153691</v>
      </c>
      <c r="D18" s="36">
        <f>IFERROR(D17/D12,0)</f>
        <v>0.32987947731863465</v>
      </c>
      <c r="E18" s="36">
        <f>IFERROR(E17/E12,0)</f>
        <v>0.3395467085678629</v>
      </c>
      <c r="F18" s="36">
        <f>IFERROR(F17/F12,0)</f>
        <v>0.34905929702360894</v>
      </c>
      <c r="G18" s="36">
        <f>IFERROR(G17/G12,0)</f>
        <v>0.35841990735865681</v>
      </c>
    </row>
  </sheetData>
  <mergeCells count="2">
    <mergeCell ref="B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Enterprise Budget</vt:lpstr>
      <vt:lpstr>Cash Flow Budget</vt:lpstr>
      <vt:lpstr>Break-Even Analysis</vt:lpstr>
      <vt:lpstr>Partial Budget</vt:lpstr>
      <vt:lpstr>5-Year 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Kudakwashe</cp:lastModifiedBy>
  <cp:revision>0</cp:revision>
  <dcterms:created xsi:type="dcterms:W3CDTF">2026-06-18T10:24:19Z</dcterms:created>
  <dcterms:modified xsi:type="dcterms:W3CDTF">2026-06-25T15:25:39Z</dcterms:modified>
  <dc:language>en-US</dc:language>
</cp:coreProperties>
</file>